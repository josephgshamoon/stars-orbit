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T" sheetId="1" state="visible" r:id="rId1"/>
    <sheet xmlns:r="http://schemas.openxmlformats.org/officeDocument/2006/relationships" name="Data quality log" sheetId="2" state="visible" r:id="rId2"/>
    <sheet xmlns:r="http://schemas.openxmlformats.org/officeDocument/2006/relationships" name="Transla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9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40" customWidth="1" min="4" max="4"/>
    <col width="10" customWidth="1" min="5" max="5"/>
    <col width="22" customWidth="1" min="6" max="6"/>
    <col width="10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2" customWidth="1" min="13" max="13"/>
    <col width="11" customWidth="1" min="14" max="14"/>
    <col width="8" customWidth="1" min="15" max="15"/>
    <col width="20" customWidth="1" min="16" max="16"/>
    <col width="12" customWidth="1" min="17" max="17"/>
    <col width="14" customWidth="1" min="18" max="18"/>
    <col width="12" customWidth="1" min="19" max="19"/>
    <col width="30" customWidth="1" min="20" max="20"/>
  </cols>
  <sheetData>
    <row r="1">
      <c r="A1" s="1" t="inlineStr">
        <is>
          <t>Indicator Tracking Table (ITT)</t>
        </is>
      </c>
    </row>
    <row r="2">
      <c r="A2" s="2" t="inlineStr">
        <is>
          <t>One row per indicator. Owner: M&amp;E Officer. Update monthly by the 10th.</t>
        </is>
      </c>
    </row>
    <row r="3">
      <c r="A3" s="2" t="inlineStr">
        <is>
          <t>Legend: yellow cells with blue text are inputs. Black cells are formulas, do not overwrite. Example rows show expected format, replace them.</t>
        </is>
      </c>
    </row>
    <row r="5" ht="32" customHeight="1">
      <c r="A5" s="3" t="inlineStr">
        <is>
          <t>Indicator ID</t>
        </is>
      </c>
      <c r="B5" s="3" t="inlineStr">
        <is>
          <t>Project</t>
        </is>
      </c>
      <c r="C5" s="3" t="inlineStr">
        <is>
          <t>Logframe level</t>
        </is>
      </c>
      <c r="D5" s="3" t="inlineStr">
        <is>
          <t>Indicator definition</t>
        </is>
      </c>
      <c r="E5" s="3" t="inlineStr">
        <is>
          <t>Unit</t>
        </is>
      </c>
      <c r="F5" s="3" t="inlineStr">
        <is>
          <t>Disaggregation</t>
        </is>
      </c>
      <c r="G5" s="3" t="inlineStr">
        <is>
          <t>Baseline</t>
        </is>
      </c>
      <c r="H5" s="3" t="inlineStr">
        <is>
          <t>Target</t>
        </is>
      </c>
      <c r="I5" s="3" t="inlineStr">
        <is>
          <t>Q1</t>
        </is>
      </c>
      <c r="J5" s="3" t="inlineStr">
        <is>
          <t>Q2</t>
        </is>
      </c>
      <c r="K5" s="3" t="inlineStr">
        <is>
          <t>Q3</t>
        </is>
      </c>
      <c r="L5" s="3" t="inlineStr">
        <is>
          <t>Q4</t>
        </is>
      </c>
      <c r="M5" s="3" t="inlineStr">
        <is>
          <t>Cumulative</t>
        </is>
      </c>
      <c r="N5" s="3" t="inlineStr">
        <is>
          <t>% of target</t>
        </is>
      </c>
      <c r="O5" s="3" t="inlineStr">
        <is>
          <t>RAG</t>
        </is>
      </c>
      <c r="P5" s="3" t="inlineStr">
        <is>
          <t>Data source</t>
        </is>
      </c>
      <c r="Q5" s="3" t="inlineStr">
        <is>
          <t>Frequency</t>
        </is>
      </c>
      <c r="R5" s="3" t="inlineStr">
        <is>
          <t>Responsible</t>
        </is>
      </c>
      <c r="S5" s="3" t="inlineStr">
        <is>
          <t>Last verified</t>
        </is>
      </c>
      <c r="T5" s="3" t="inlineStr">
        <is>
          <t>Notes</t>
        </is>
      </c>
    </row>
    <row r="6">
      <c r="A6" s="4" t="inlineStr">
        <is>
          <t>IND-01</t>
        </is>
      </c>
      <c r="B6" s="4" t="inlineStr">
        <is>
          <t>UNHCR-PPA-2026</t>
        </is>
      </c>
      <c r="C6" s="4" t="inlineStr">
        <is>
          <t>Output 1</t>
        </is>
      </c>
      <c r="D6" s="4" t="inlineStr">
        <is>
          <t>Number of IDP households receiving multipurpose cash assistance</t>
        </is>
      </c>
      <c r="E6" s="4" t="inlineStr">
        <is>
          <t>households</t>
        </is>
      </c>
      <c r="F6" s="4" t="inlineStr">
        <is>
          <t>sex of HoH, governorate</t>
        </is>
      </c>
      <c r="G6" s="4" t="n">
        <v>0</v>
      </c>
      <c r="H6" s="4" t="n">
        <v>1200</v>
      </c>
      <c r="I6" s="4" t="n">
        <v>280</v>
      </c>
      <c r="J6" s="4" t="n">
        <v>310</v>
      </c>
      <c r="K6" s="4" t="n"/>
      <c r="L6" s="4" t="n"/>
      <c r="M6" s="5">
        <f>IF(E6="%",IFERROR(INDEX(I6:L6,MATCH(9.99E+307,I6:L6)),""),SUM(I6:L6))</f>
        <v/>
      </c>
      <c r="N6" s="6">
        <f>IFERROR(M6/H6,"")</f>
        <v/>
      </c>
      <c r="O6" s="5">
        <f>IF(N6="","",IF(N6&gt;=0.9,"G",IF(N6&gt;=0.6,"A","R")))</f>
        <v/>
      </c>
      <c r="P6" s="4" t="inlineStr">
        <is>
          <t>Kobo PDM survey</t>
        </is>
      </c>
      <c r="Q6" s="4" t="inlineStr">
        <is>
          <t>Quarterly</t>
        </is>
      </c>
      <c r="R6" s="4" t="inlineStr">
        <is>
          <t>M&amp;E Officer</t>
        </is>
      </c>
      <c r="S6" s="4" t="inlineStr">
        <is>
          <t>2026-07-10</t>
        </is>
      </c>
      <c r="T6" s="4" t="inlineStr">
        <is>
          <t>Cumulative column: sums quarters for counts, takes latest quarter for % indicators.</t>
        </is>
      </c>
    </row>
    <row r="7">
      <c r="A7" s="4" t="inlineStr">
        <is>
          <t>IND-02</t>
        </is>
      </c>
      <c r="B7" s="4" t="inlineStr">
        <is>
          <t>UNHCR-PPA-2026</t>
        </is>
      </c>
      <c r="C7" s="4" t="inlineStr">
        <is>
          <t>Outcome 1</t>
        </is>
      </c>
      <c r="D7" s="4" t="inlineStr">
        <is>
          <t>% of assisted households reporting ability to meet basic needs (PDM)</t>
        </is>
      </c>
      <c r="E7" s="4" t="inlineStr">
        <is>
          <t>%</t>
        </is>
      </c>
      <c r="F7" s="4" t="inlineStr">
        <is>
          <t>sex of HoH</t>
        </is>
      </c>
      <c r="G7" s="4" t="n">
        <v>31</v>
      </c>
      <c r="H7" s="4" t="n">
        <v>70</v>
      </c>
      <c r="I7" s="4" t="n">
        <v>48</v>
      </c>
      <c r="J7" s="4" t="n">
        <v>55</v>
      </c>
      <c r="K7" s="4" t="n"/>
      <c r="L7" s="4" t="n"/>
      <c r="M7" s="5">
        <f>IF(E7="%",IFERROR(INDEX(I7:L7,MATCH(9.99E+307,I7:L7)),""),SUM(I7:L7))</f>
        <v/>
      </c>
      <c r="N7" s="6">
        <f>IFERROR(M7/H7,"")</f>
        <v/>
      </c>
      <c r="O7" s="5">
        <f>IF(N7="","",IF(N7&gt;=0.9,"G",IF(N7&gt;=0.6,"A","R")))</f>
        <v/>
      </c>
      <c r="P7" s="4" t="inlineStr">
        <is>
          <t>Kobo PDM survey</t>
        </is>
      </c>
      <c r="Q7" s="4" t="inlineStr">
        <is>
          <t>Quarterly</t>
        </is>
      </c>
      <c r="R7" s="4" t="inlineStr">
        <is>
          <t>M&amp;E Officer</t>
        </is>
      </c>
      <c r="S7" s="4" t="inlineStr">
        <is>
          <t>2026-07-10</t>
        </is>
      </c>
      <c r="T7" s="4" t="inlineStr">
        <is>
          <t>Cumulative column: sums quarters for counts, takes latest quarter for % indicators.</t>
        </is>
      </c>
    </row>
    <row r="8">
      <c r="A8" s="4" t="inlineStr">
        <is>
          <t>IND-03</t>
        </is>
      </c>
      <c r="B8" s="4" t="inlineStr">
        <is>
          <t>UNICEF-PCA-2026</t>
        </is>
      </c>
      <c r="C8" s="4" t="inlineStr">
        <is>
          <t>Output 2</t>
        </is>
      </c>
      <c r="D8" s="4" t="inlineStr">
        <is>
          <t>Number of teachers completing psychosocial support training</t>
        </is>
      </c>
      <c r="E8" s="4" t="inlineStr">
        <is>
          <t>persons</t>
        </is>
      </c>
      <c r="F8" s="4" t="inlineStr">
        <is>
          <t>sex, district</t>
        </is>
      </c>
      <c r="G8" s="4" t="n">
        <v>0</v>
      </c>
      <c r="H8" s="4" t="n">
        <v>150</v>
      </c>
      <c r="I8" s="4" t="n">
        <v>40</v>
      </c>
      <c r="J8" s="4" t="n">
        <v>62</v>
      </c>
      <c r="K8" s="4" t="n"/>
      <c r="L8" s="4" t="n"/>
      <c r="M8" s="5">
        <f>IF(E8="%",IFERROR(INDEX(I8:L8,MATCH(9.99E+307,I8:L8)),""),SUM(I8:L8))</f>
        <v/>
      </c>
      <c r="N8" s="6">
        <f>IFERROR(M8/H8,"")</f>
        <v/>
      </c>
      <c r="O8" s="5">
        <f>IF(N8="","",IF(N8&gt;=0.9,"G",IF(N8&gt;=0.6,"A","R")))</f>
        <v/>
      </c>
      <c r="P8" s="4" t="inlineStr">
        <is>
          <t>Kobo PDM survey</t>
        </is>
      </c>
      <c r="Q8" s="4" t="inlineStr">
        <is>
          <t>Quarterly</t>
        </is>
      </c>
      <c r="R8" s="4" t="inlineStr">
        <is>
          <t>M&amp;E Officer</t>
        </is>
      </c>
      <c r="S8" s="4" t="inlineStr">
        <is>
          <t>2026-07-10</t>
        </is>
      </c>
      <c r="T8" s="4" t="inlineStr">
        <is>
          <t>Cumulative column: sums quarters for counts, takes latest quarter for % indicators.</t>
        </is>
      </c>
    </row>
    <row r="10">
      <c r="A10" s="2" t="inlineStr">
        <is>
          <t>RAG rule: G at or above 90% of target, A 60-89%, R below 60%. Adjust thresholds per donor in the Notes column.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6" customWidth="1" min="4" max="4"/>
    <col width="40" customWidth="1" min="5" max="5"/>
    <col width="12" customWidth="1" min="6" max="6"/>
    <col width="36" customWidth="1" min="7" max="7"/>
    <col width="14" customWidth="1" min="8" max="8"/>
    <col width="10" customWidth="1" min="9" max="9"/>
    <col width="12" customWidth="1" min="10" max="10"/>
  </cols>
  <sheetData>
    <row r="1">
      <c r="A1" s="1" t="inlineStr">
        <is>
          <t>Data Quality Log</t>
        </is>
      </c>
    </row>
    <row r="3">
      <c r="A3" s="2" t="inlineStr">
        <is>
          <t>Legend: yellow cells with blue text are inputs. Black cells are formulas, do not overwrite. Example rows show expected format, replace them.</t>
        </is>
      </c>
    </row>
    <row r="5" ht="32" customHeight="1">
      <c r="A5" s="3" t="inlineStr">
        <is>
          <t>Date</t>
        </is>
      </c>
      <c r="B5" s="3" t="inlineStr">
        <is>
          <t>Project</t>
        </is>
      </c>
      <c r="C5" s="3" t="inlineStr">
        <is>
          <t>Tool / dataset</t>
        </is>
      </c>
      <c r="D5" s="3" t="inlineStr">
        <is>
          <t>Issue type</t>
        </is>
      </c>
      <c r="E5" s="3" t="inlineStr">
        <is>
          <t>Description</t>
        </is>
      </c>
      <c r="F5" s="3" t="inlineStr">
        <is>
          <t>Records affected</t>
        </is>
      </c>
      <c r="G5" s="3" t="inlineStr">
        <is>
          <t>Action taken</t>
        </is>
      </c>
      <c r="H5" s="3" t="inlineStr">
        <is>
          <t>Owner</t>
        </is>
      </c>
      <c r="I5" s="3" t="inlineStr">
        <is>
          <t>Status</t>
        </is>
      </c>
      <c r="J5" s="3" t="inlineStr">
        <is>
          <t>Closed date</t>
        </is>
      </c>
    </row>
    <row r="6">
      <c r="A6" s="4" t="inlineStr">
        <is>
          <t>2026-07-03</t>
        </is>
      </c>
      <c r="B6" s="4" t="inlineStr">
        <is>
          <t>UNHCR-PPA-2026</t>
        </is>
      </c>
      <c r="C6" s="4" t="inlineStr">
        <is>
          <t>PDM round 2</t>
        </is>
      </c>
      <c r="D6" s="4" t="inlineStr">
        <is>
          <t>Duplicate</t>
        </is>
      </c>
      <c r="E6" s="4" t="inlineStr">
        <is>
          <t>12 duplicate household IDs from enumerator E-07 re-uploads</t>
        </is>
      </c>
      <c r="F6" s="4" t="n">
        <v>12</v>
      </c>
      <c r="G6" s="4" t="inlineStr">
        <is>
          <t>Duplicates removed, enumerator re-briefed on sync</t>
        </is>
      </c>
      <c r="H6" s="4" t="inlineStr">
        <is>
          <t>M&amp;E Officer</t>
        </is>
      </c>
      <c r="I6" s="4" t="inlineStr">
        <is>
          <t>Closed</t>
        </is>
      </c>
      <c r="J6" s="4" t="inlineStr">
        <is>
          <t>2026-07-04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8" customWidth="1" min="4" max="4"/>
    <col width="16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8" customWidth="1" min="11" max="11"/>
    <col width="12" customWidth="1" min="12" max="12"/>
    <col width="28" customWidth="1" min="13" max="13"/>
  </cols>
  <sheetData>
    <row r="1">
      <c r="A1" s="1" t="inlineStr">
        <is>
          <t>Translation Log</t>
        </is>
      </c>
    </row>
    <row r="3">
      <c r="A3" s="2" t="inlineStr">
        <is>
          <t>Legend: yellow cells with blue text are inputs. Black cells are formulas, do not overwrite. Example rows show expected format, replace them.</t>
        </is>
      </c>
    </row>
    <row r="5" ht="32" customHeight="1">
      <c r="A5" s="3" t="inlineStr">
        <is>
          <t>Item ID</t>
        </is>
      </c>
      <c r="B5" s="3" t="inlineStr">
        <is>
          <t>Project</t>
        </is>
      </c>
      <c r="C5" s="3" t="inlineStr">
        <is>
          <t>Source file (Arabic)</t>
        </is>
      </c>
      <c r="D5" s="3" t="inlineStr">
        <is>
          <t>Words</t>
        </is>
      </c>
      <c r="E5" s="3" t="inlineStr">
        <is>
          <t>Translator</t>
        </is>
      </c>
      <c r="F5" s="3" t="inlineStr">
        <is>
          <t>Date sent</t>
        </is>
      </c>
      <c r="G5" s="3" t="inlineStr">
        <is>
          <t>Draft received</t>
        </is>
      </c>
      <c r="H5" s="3" t="inlineStr">
        <is>
          <t>Reviewer</t>
        </is>
      </c>
      <c r="I5" s="3" t="inlineStr">
        <is>
          <t>Review date</t>
        </is>
      </c>
      <c r="J5" s="3" t="inlineStr">
        <is>
          <t>Glossary flags</t>
        </is>
      </c>
      <c r="K5" s="3" t="inlineStr">
        <is>
          <t>Sensitive content check by</t>
        </is>
      </c>
      <c r="L5" s="3" t="inlineStr">
        <is>
          <t>Status</t>
        </is>
      </c>
      <c r="M5" s="3" t="inlineStr">
        <is>
          <t>Final file</t>
        </is>
      </c>
    </row>
    <row r="6">
      <c r="A6" s="4" t="inlineStr">
        <is>
          <t>TR-0041</t>
        </is>
      </c>
      <c r="B6" s="4" t="inlineStr">
        <is>
          <t>UNHCR-PPA-2026</t>
        </is>
      </c>
      <c r="C6" s="4" t="inlineStr">
        <is>
          <t>FGD-W-Mosul-02_AR.docx</t>
        </is>
      </c>
      <c r="D6" s="4" t="n">
        <v>2300</v>
      </c>
      <c r="E6" s="4" t="inlineStr">
        <is>
          <t>Contracted translator A</t>
        </is>
      </c>
      <c r="F6" s="4" t="inlineStr">
        <is>
          <t>2026-07-05</t>
        </is>
      </c>
      <c r="G6" s="4" t="inlineStr">
        <is>
          <t>2026-07-07</t>
        </is>
      </c>
      <c r="H6" s="4" t="inlineStr">
        <is>
          <t>M&amp;E Officer</t>
        </is>
      </c>
      <c r="I6" s="4" t="inlineStr">
        <is>
          <t>2026-07-08</t>
        </is>
      </c>
      <c r="J6" s="4" t="n">
        <v>2</v>
      </c>
      <c r="K6" s="4" t="inlineStr">
        <is>
          <t>PM</t>
        </is>
      </c>
      <c r="L6" s="4" t="inlineStr">
        <is>
          <t>Final</t>
        </is>
      </c>
      <c r="M6" s="4" t="inlineStr">
        <is>
          <t>FGD-W-Mosul-02_EN_final.docx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2026-09-08T17:30:22Z</dcterms:created>
  <dcterms:modified xmlns:dcterms="http://purl.org/dc/terms/" xmlns:xsi="http://www.w3.org/2001/XMLSchema-instance" xsi:type="dcterms:W3CDTF">2026-09-08T17:30:22Z</dcterms:modified>
</cp:coreProperties>
</file>