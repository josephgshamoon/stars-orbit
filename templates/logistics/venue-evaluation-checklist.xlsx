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ue evaluation" sheetId="1" state="visible" r:id="rId1"/>
    <sheet xmlns:r="http://schemas.openxmlformats.org/officeDocument/2006/relationships" name="Quote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i val="1"/>
      <color rgb="00555555"/>
      <sz val="9"/>
    </font>
    <font>
      <name val="Arial"/>
      <sz val="10"/>
    </font>
    <font>
      <name val="Arial"/>
      <color rgb="000000FF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A5F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vertical="center" wrapText="1"/>
    </xf>
    <xf numFmtId="9" fontId="4" fillId="2" borderId="1" applyAlignment="1" pivotButton="0" quotePrefix="0" xfId="0">
      <alignment vertical="top" wrapText="1"/>
    </xf>
    <xf numFmtId="9" fontId="3" fillId="0" borderId="1" applyAlignment="1" pivotButton="0" quotePrefix="0" xfId="0">
      <alignment vertical="top" wrapText="1"/>
    </xf>
    <xf numFmtId="2" fontId="3" fillId="0" borderId="1" applyAlignment="1" pivotButton="0" quotePrefix="0" xfId="0">
      <alignment vertical="top" wrapText="1"/>
    </xf>
    <xf numFmtId="3" fontId="4" fillId="2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4" fontId="4" fillId="2" borderId="1" applyAlignment="1" pivotButton="0" quotePrefix="0" xfId="0">
      <alignment vertical="top" wrapText="1"/>
    </xf>
    <xf numFmtId="4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60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Venue Evaluation Checklist</t>
        </is>
      </c>
    </row>
    <row r="2">
      <c r="A2" s="2" t="inlineStr">
        <is>
          <t>Score each venue 1-5 per criterion. Weighted score calculated. Site visit required above 30 participants or USD 3,000.</t>
        </is>
      </c>
    </row>
    <row r="3">
      <c r="A3" s="2" t="inlineStr">
        <is>
          <t>Legend: yellow cells with blue text are inputs. Black cells are formulas, do not overwrite. Example rows show expected format, replace them.</t>
        </is>
      </c>
    </row>
    <row r="5">
      <c r="A5" s="3" t="inlineStr">
        <is>
          <t>Event</t>
        </is>
      </c>
      <c r="B5" s="4" t="inlineStr">
        <is>
          <t>Teacher PSS training, cohort 3</t>
        </is>
      </c>
    </row>
    <row r="6">
      <c r="A6" s="3" t="inlineStr">
        <is>
          <t>Project</t>
        </is>
      </c>
      <c r="B6" s="4" t="inlineStr">
        <is>
          <t>UNICEF-PCA-2026</t>
        </is>
      </c>
    </row>
    <row r="7">
      <c r="A7" s="3" t="inlineStr">
        <is>
          <t>Dates</t>
        </is>
      </c>
      <c r="B7" s="4" t="inlineStr">
        <is>
          <t>2026-10-12 to 2026-10-14</t>
        </is>
      </c>
    </row>
    <row r="8">
      <c r="A8" s="3" t="inlineStr">
        <is>
          <t>Participants</t>
        </is>
      </c>
      <c r="B8" s="4" t="n">
        <v>35</v>
      </c>
    </row>
    <row r="9">
      <c r="A9" s="3" t="inlineStr">
        <is>
          <t>Budget ceiling (USD)</t>
        </is>
      </c>
      <c r="B9" s="4" t="n">
        <v>4500</v>
      </c>
    </row>
    <row r="10">
      <c r="A10" s="3" t="inlineStr">
        <is>
          <t>Evaluated by</t>
        </is>
      </c>
      <c r="B10" s="4" t="inlineStr">
        <is>
          <t>OD, PM, Logistics</t>
        </is>
      </c>
    </row>
    <row r="12" ht="32" customHeight="1">
      <c r="A12" s="5" t="inlineStr">
        <is>
          <t>Criterion</t>
        </is>
      </c>
      <c r="B12" s="5" t="inlineStr">
        <is>
          <t>Weight %</t>
        </is>
      </c>
      <c r="C12" s="5" t="inlineStr">
        <is>
          <t>What to check</t>
        </is>
      </c>
      <c r="D12" s="5" t="inlineStr">
        <is>
          <t>Venue A score</t>
        </is>
      </c>
      <c r="E12" s="5" t="inlineStr">
        <is>
          <t>Venue B score</t>
        </is>
      </c>
      <c r="F12" s="5" t="inlineStr">
        <is>
          <t>Venue C score</t>
        </is>
      </c>
    </row>
    <row r="13">
      <c r="A13" s="3" t="inlineStr">
        <is>
          <t>Security and access</t>
        </is>
      </c>
      <c r="B13" s="6" t="n">
        <v>0.25</v>
      </c>
      <c r="C13" s="3" t="inlineStr">
        <is>
          <t>Location risk rating, controlled entry, parking, proximity to checkpoints, evacuation route, previous incidents</t>
        </is>
      </c>
      <c r="D13" s="4" t="n">
        <v>4</v>
      </c>
      <c r="E13" s="4" t="n">
        <v>3</v>
      </c>
      <c r="F13" s="4" t="n">
        <v>5</v>
      </c>
    </row>
    <row r="14">
      <c r="A14" s="3" t="inlineStr">
        <is>
          <t>Room and equipment suitability</t>
        </is>
      </c>
      <c r="B14" s="6" t="n">
        <v>0.2</v>
      </c>
      <c r="C14" s="3" t="inlineStr">
        <is>
          <t>Capacity with U-shape seating, natural light, AC or heating, projector, sound, stable internet, breakout space</t>
        </is>
      </c>
      <c r="D14" s="4" t="n">
        <v>3</v>
      </c>
      <c r="E14" s="4" t="n">
        <v>3</v>
      </c>
      <c r="F14" s="4" t="n">
        <v>3</v>
      </c>
    </row>
    <row r="15">
      <c r="A15" s="3" t="inlineStr">
        <is>
          <t>Cost vs benchmark</t>
        </is>
      </c>
      <c r="B15" s="6" t="n">
        <v>0.2</v>
      </c>
      <c r="C15" s="3" t="inlineStr">
        <is>
          <t>Per-person day rate against preferred venue list benchmark; inclusions (coffee breaks, lunch, stationery)</t>
        </is>
      </c>
      <c r="D15" s="4" t="n">
        <v>3</v>
      </c>
      <c r="E15" s="4" t="n">
        <v>3</v>
      </c>
      <c r="F15" s="4" t="n">
        <v>3</v>
      </c>
    </row>
    <row r="16">
      <c r="A16" s="3" t="inlineStr">
        <is>
          <t>Accessibility and inclusion</t>
        </is>
      </c>
      <c r="B16" s="6" t="n">
        <v>0.15</v>
      </c>
      <c r="C16" s="3" t="inlineStr">
        <is>
          <t>Step-free access, accessible toilets, separate prayer and rest space where required, women-only facilities where requested</t>
        </is>
      </c>
      <c r="D16" s="4" t="n">
        <v>3</v>
      </c>
      <c r="E16" s="4" t="n">
        <v>3</v>
      </c>
      <c r="F16" s="4" t="n">
        <v>3</v>
      </c>
    </row>
    <row r="17">
      <c r="A17" s="3" t="inlineStr">
        <is>
          <t>Catering and hygiene</t>
        </is>
      </c>
      <c r="B17" s="6" t="n">
        <v>0.1</v>
      </c>
      <c r="C17" s="3" t="inlineStr">
        <is>
          <t>Kitchen hygiene, dietary options, water, cleanliness of toilets</t>
        </is>
      </c>
      <c r="D17" s="4" t="n">
        <v>3</v>
      </c>
      <c r="E17" s="4" t="n">
        <v>3</v>
      </c>
      <c r="F17" s="4" t="n">
        <v>3</v>
      </c>
    </row>
    <row r="18">
      <c r="A18" s="3" t="inlineStr">
        <is>
          <t>Cancellation terms and past performance</t>
        </is>
      </c>
      <c r="B18" s="6" t="n">
        <v>0.1</v>
      </c>
      <c r="C18" s="3" t="inlineStr">
        <is>
          <t>Free cancellation window, deposit terms, SOC or partner experience with venue</t>
        </is>
      </c>
      <c r="D18" s="4" t="n">
        <v>3</v>
      </c>
      <c r="E18" s="4" t="n">
        <v>3</v>
      </c>
      <c r="F18" s="4" t="n">
        <v>3</v>
      </c>
    </row>
    <row r="19">
      <c r="A19" s="3" t="inlineStr">
        <is>
          <t>Weight check</t>
        </is>
      </c>
      <c r="B19" s="7">
        <f>SUM(B13:B18)</f>
        <v/>
      </c>
    </row>
    <row r="20">
      <c r="A20" s="3" t="inlineStr">
        <is>
          <t>Weighted score (max 5)</t>
        </is>
      </c>
      <c r="D20" s="8">
        <f>SUMPRODUCT($B$13:$B$18,D13:D18)</f>
        <v/>
      </c>
      <c r="E20" s="8">
        <f>SUMPRODUCT($B$13:$B$18,E13:E18)</f>
        <v/>
      </c>
      <c r="F20" s="8">
        <f>SUMPRODUCT($B$13:$B$18,F13:F18)</f>
        <v/>
      </c>
    </row>
    <row r="21">
      <c r="A21" s="3" t="inlineStr">
        <is>
          <t>Quoted total (USD)</t>
        </is>
      </c>
      <c r="D21" s="9" t="n">
        <v>4200</v>
      </c>
      <c r="E21" s="9" t="n">
        <v>3600</v>
      </c>
      <c r="F21" s="9" t="n">
        <v>4900</v>
      </c>
    </row>
    <row r="22">
      <c r="A22" s="3" t="inlineStr">
        <is>
          <t>Within budget ceiling?</t>
        </is>
      </c>
      <c r="D22" s="3">
        <f>IF(D21&lt;=$B$9,"Yes","No")</f>
        <v/>
      </c>
      <c r="E22" s="3">
        <f>IF(E21&lt;=$B$9,"Yes","No")</f>
        <v/>
      </c>
      <c r="F22" s="3">
        <f>IF(F21&lt;=$B$9,"Yes","No")</f>
        <v/>
      </c>
    </row>
    <row r="23">
      <c r="A23" s="3" t="inlineStr">
        <is>
          <t>Score per USD 1,000</t>
        </is>
      </c>
      <c r="D23" s="8">
        <f>IF(D21=0,0,D20/(D21/1000))</f>
        <v/>
      </c>
      <c r="E23" s="8">
        <f>IF(E21=0,0,E20/(E21/1000))</f>
        <v/>
      </c>
      <c r="F23" s="8">
        <f>IF(F21=0,0,F20/(F21/1000))</f>
        <v/>
      </c>
    </row>
    <row r="25">
      <c r="A25" s="3" t="inlineStr">
        <is>
          <t>Venue names</t>
        </is>
      </c>
      <c r="D25" s="4" t="inlineStr">
        <is>
          <t>Venue A</t>
        </is>
      </c>
      <c r="E25" s="4" t="inlineStr">
        <is>
          <t>Venue B</t>
        </is>
      </c>
      <c r="F25" s="4" t="inlineStr">
        <is>
          <t>Venue C</t>
        </is>
      </c>
    </row>
    <row r="26">
      <c r="A26" s="3" t="inlineStr">
        <is>
          <t>Site visit done (Y/N), date, by</t>
        </is>
      </c>
      <c r="D26" s="4" t="inlineStr"/>
      <c r="E26" s="4" t="inlineStr"/>
      <c r="F26" s="4" t="inlineStr"/>
    </row>
    <row r="27" ht="48" customHeight="1">
      <c r="A27" s="3" t="inlineStr">
        <is>
          <t>Recommendation and rationale</t>
        </is>
      </c>
      <c r="B27" s="4" t="inlineStr"/>
      <c r="C27" s="10" t="n"/>
      <c r="D27" s="10" t="n"/>
      <c r="E27" s="10" t="n"/>
      <c r="F27" s="11" t="n"/>
    </row>
    <row r="28">
      <c r="A28" s="3" t="inlineStr">
        <is>
          <t>Approved by (OD) and date</t>
        </is>
      </c>
      <c r="B28" s="4" t="inlineStr"/>
      <c r="C28" s="10" t="n"/>
      <c r="D28" s="10" t="n"/>
      <c r="E28" s="10" t="n"/>
      <c r="F28" s="11" t="n"/>
    </row>
  </sheetData>
  <mergeCells count="2">
    <mergeCell ref="B27:F27"/>
    <mergeCell ref="B28:F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24" customWidth="1" min="11" max="11"/>
  </cols>
  <sheetData>
    <row r="1">
      <c r="A1" s="1" t="inlineStr">
        <is>
          <t>Quote comparison sheet (procurement USD 1,000 to 25,000)</t>
        </is>
      </c>
    </row>
    <row r="3">
      <c r="A3" s="2" t="inlineStr">
        <is>
          <t>Legend: yellow cells with blue text are inputs. Black cells are formulas, do not overwrite. Example rows show expected format, replace them.</t>
        </is>
      </c>
    </row>
    <row r="5" ht="32" customHeight="1">
      <c r="A5" s="5" t="inlineStr">
        <is>
          <t>Item</t>
        </is>
      </c>
      <c r="B5" s="5" t="inlineStr">
        <is>
          <t>Spec</t>
        </is>
      </c>
      <c r="C5" s="5" t="inlineStr">
        <is>
          <t>Qty</t>
        </is>
      </c>
      <c r="D5" s="5" t="inlineStr">
        <is>
          <t>Supplier 1 unit</t>
        </is>
      </c>
      <c r="E5" s="5" t="inlineStr">
        <is>
          <t>Supplier 1 total</t>
        </is>
      </c>
      <c r="F5" s="5" t="inlineStr">
        <is>
          <t>Supplier 2 unit</t>
        </is>
      </c>
      <c r="G5" s="5" t="inlineStr">
        <is>
          <t>Supplier 2 total</t>
        </is>
      </c>
      <c r="H5" s="5" t="inlineStr">
        <is>
          <t>Supplier 3 unit</t>
        </is>
      </c>
      <c r="I5" s="5" t="inlineStr">
        <is>
          <t>Supplier 3 total</t>
        </is>
      </c>
      <c r="J5" s="5" t="inlineStr">
        <is>
          <t>Lowest compliant</t>
        </is>
      </c>
      <c r="K5" s="5" t="inlineStr">
        <is>
          <t>Note</t>
        </is>
      </c>
    </row>
    <row r="6">
      <c r="A6" s="4" t="inlineStr">
        <is>
          <t>Training kits</t>
        </is>
      </c>
      <c r="B6" s="4" t="inlineStr">
        <is>
          <t>Bag, notebook, pen, printed manual</t>
        </is>
      </c>
      <c r="C6" s="4" t="n">
        <v>35</v>
      </c>
      <c r="D6" s="12" t="n">
        <v>9.5</v>
      </c>
      <c r="E6" s="13">
        <f>C6*D6</f>
        <v/>
      </c>
      <c r="F6" s="12" t="n">
        <v>8</v>
      </c>
      <c r="G6" s="13">
        <f>C6*F6</f>
        <v/>
      </c>
      <c r="H6" s="12" t="n">
        <v>11</v>
      </c>
      <c r="I6" s="13">
        <f>C6*H6</f>
        <v/>
      </c>
      <c r="J6" s="13">
        <f>MIN(E6,G6,I6)</f>
        <v/>
      </c>
      <c r="K6" s="4" t="inlineStr"/>
    </row>
    <row r="7">
      <c r="A7" s="4" t="inlineStr">
        <is>
          <t>Projector hire</t>
        </is>
      </c>
      <c r="B7" s="4" t="inlineStr">
        <is>
          <t>Full HD, 3 days</t>
        </is>
      </c>
      <c r="C7" s="4" t="n">
        <v>3</v>
      </c>
      <c r="D7" s="12" t="n">
        <v>40</v>
      </c>
      <c r="E7" s="13">
        <f>C7*D7</f>
        <v/>
      </c>
      <c r="F7" s="12" t="n">
        <v>45</v>
      </c>
      <c r="G7" s="13">
        <f>C7*F7</f>
        <v/>
      </c>
      <c r="H7" s="12" t="n">
        <v>38</v>
      </c>
      <c r="I7" s="13">
        <f>C7*H7</f>
        <v/>
      </c>
      <c r="J7" s="13">
        <f>MIN(E7,G7,I7)</f>
        <v/>
      </c>
      <c r="K7" s="4" t="inlineStr"/>
    </row>
    <row r="9">
      <c r="A9" s="3" t="inlineStr">
        <is>
          <t>Totals</t>
        </is>
      </c>
      <c r="E9" s="13">
        <f>SUM(E6:E8)</f>
        <v/>
      </c>
      <c r="G9" s="13">
        <f>SUM(G6:G8)</f>
        <v/>
      </c>
      <c r="I9" s="13">
        <f>SUM(I6:I8)</f>
        <v/>
      </c>
    </row>
    <row r="11">
      <c r="A11" s="3" t="inlineStr">
        <is>
          <t>Committee decision and rationale</t>
        </is>
      </c>
      <c r="B11" s="4" t="inlineStr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1" t="n"/>
    </row>
    <row r="12">
      <c r="A12" s="3" t="inlineStr">
        <is>
          <t>Committee members and signatures (3)</t>
        </is>
      </c>
      <c r="B12" s="4" t="inlineStr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1" t="n"/>
    </row>
  </sheetData>
  <mergeCells count="2">
    <mergeCell ref="B12:K12"/>
    <mergeCell ref="B11:K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2026-09-08T17:30:22Z</dcterms:created>
  <dcterms:modified xmlns:dcterms="http://purl.org/dc/terms/" xmlns:xsi="http://www.w3.org/2001/XMLSchema-instance" xsi:type="dcterms:W3CDTF">2026-09-08T17:30:22Z</dcterms:modified>
</cp:coreProperties>
</file>