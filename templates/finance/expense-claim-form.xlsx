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ense claim" sheetId="1" state="visible" r:id="rId1"/>
  </sheets>
  <definedNames/>
  <calcPr calcId="124519" fullCalcOnLoad="1"/>
</workbook>
</file>

<file path=xl/styles.xml><?xml version="1.0" encoding="utf-8"?>
<styleSheet xmlns="http://schemas.openxmlformats.org/spreadsheetml/2006/main">
  <numFmts count="2">
    <numFmt numFmtId="164" formatCode="0.000000"/>
    <numFmt numFmtId="165" formatCode="#,##0.00;(#,##0.00);-"/>
  </numFmts>
  <fonts count="6">
    <font>
      <name val="Calibri"/>
      <family val="2"/>
      <color theme="1"/>
      <sz val="11"/>
      <scheme val="minor"/>
    </font>
    <font>
      <name val="Arial"/>
      <b val="1"/>
      <color rgb="001F3A5F"/>
      <sz val="14"/>
    </font>
    <font>
      <name val="Arial"/>
      <i val="1"/>
      <color rgb="00555555"/>
      <sz val="9"/>
    </font>
    <font>
      <name val="Arial"/>
      <sz val="10"/>
    </font>
    <font>
      <name val="Arial"/>
      <color rgb="000000FF"/>
      <sz val="10"/>
    </font>
    <font>
      <name val="Arial"/>
      <b val="1"/>
      <color rgb="00FFFFFF"/>
      <sz val="10"/>
    </font>
  </fonts>
  <fills count="4">
    <fill>
      <patternFill/>
    </fill>
    <fill>
      <patternFill patternType="gray125"/>
    </fill>
    <fill>
      <patternFill patternType="solid">
        <fgColor rgb="00FFF2CC"/>
      </patternFill>
    </fill>
    <fill>
      <patternFill patternType="solid">
        <fgColor rgb="001F3A5F"/>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4" fillId="2" borderId="1" applyAlignment="1" pivotButton="0" quotePrefix="0" xfId="0">
      <alignment vertical="top" wrapText="1"/>
    </xf>
    <xf numFmtId="4" fontId="4" fillId="2" borderId="1" applyAlignment="1" pivotButton="0" quotePrefix="0" xfId="0">
      <alignment vertical="top" wrapText="1"/>
    </xf>
    <xf numFmtId="0" fontId="5" fillId="3" borderId="1" applyAlignment="1" pivotButton="0" quotePrefix="0" xfId="0">
      <alignment vertical="center" wrapText="1"/>
    </xf>
    <xf numFmtId="164" fontId="4" fillId="2" borderId="1" applyAlignment="1" pivotButton="0" quotePrefix="0" xfId="0">
      <alignment vertical="top" wrapText="1"/>
    </xf>
    <xf numFmtId="4" fontId="3" fillId="0" borderId="1" applyAlignment="1" pivotButton="0" quotePrefix="0" xfId="0">
      <alignment vertical="top" wrapText="1"/>
    </xf>
    <xf numFmtId="4" fontId="3" fillId="2" borderId="1" applyAlignment="1" pivotButton="0" quotePrefix="0" xfId="0">
      <alignment vertical="top" wrapText="1"/>
    </xf>
    <xf numFmtId="165" fontId="3" fillId="0"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pane ySplit="13" topLeftCell="A14" activePane="bottomLeft" state="frozen"/>
      <selection pane="bottomLeft" activeCell="A1" sqref="A1"/>
    </sheetView>
  </sheetViews>
  <sheetFormatPr baseColWidth="8" defaultRowHeight="15"/>
  <cols>
    <col width="5" customWidth="1" min="1" max="1"/>
    <col width="12" customWidth="1" min="2" max="2"/>
    <col width="40" customWidth="1" min="3" max="3"/>
    <col width="10" customWidth="1" min="4" max="4"/>
    <col width="14" customWidth="1" min="5" max="5"/>
    <col width="9" customWidth="1" min="6" max="6"/>
    <col width="12" customWidth="1" min="7" max="7"/>
    <col width="12" customWidth="1" min="8" max="8"/>
    <col width="12" customWidth="1" min="9" max="9"/>
    <col width="12" customWidth="1" min="10" max="10"/>
    <col width="12" customWidth="1" min="11" max="11"/>
  </cols>
  <sheetData>
    <row r="1">
      <c r="A1" s="1" t="inlineStr">
        <is>
          <t>Expense Claim Form</t>
        </is>
      </c>
    </row>
    <row r="2">
      <c r="A2" s="2" t="inlineStr">
        <is>
          <t>Attach receipts numbered to match the Receipt ref column. Approver is determined by the total in USD.</t>
        </is>
      </c>
    </row>
    <row r="3">
      <c r="A3" s="2" t="inlineStr">
        <is>
          <t>Legend: yellow cells with blue text are inputs. Black cells are formulas, do not overwrite. Example rows show expected format, replace them.</t>
        </is>
      </c>
    </row>
    <row r="5">
      <c r="A5" s="3" t="inlineStr">
        <is>
          <t>Claim ID</t>
        </is>
      </c>
      <c r="B5" s="4" t="inlineStr">
        <is>
          <t>EXP-2026-0142</t>
        </is>
      </c>
    </row>
    <row r="6">
      <c r="A6" s="3" t="inlineStr">
        <is>
          <t>Claimant</t>
        </is>
      </c>
      <c r="B6" s="4" t="inlineStr">
        <is>
          <t>Example Name A</t>
        </is>
      </c>
    </row>
    <row r="7">
      <c r="A7" s="3" t="inlineStr">
        <is>
          <t>Staff ID</t>
        </is>
      </c>
      <c r="B7" s="4" t="inlineStr">
        <is>
          <t>S-001</t>
        </is>
      </c>
    </row>
    <row r="8">
      <c r="A8" s="3" t="inlineStr">
        <is>
          <t>Project code</t>
        </is>
      </c>
      <c r="B8" s="4" t="inlineStr">
        <is>
          <t>UNHCR-PPA-2026</t>
        </is>
      </c>
    </row>
    <row r="9">
      <c r="A9" s="3" t="inlineStr">
        <is>
          <t>Purpose</t>
        </is>
      </c>
      <c r="B9" s="4" t="inlineStr">
        <is>
          <t>PDM round 2 field visits, Ninewa</t>
        </is>
      </c>
    </row>
    <row r="10">
      <c r="A10" s="3" t="inlineStr">
        <is>
          <t>Date submitted</t>
        </is>
      </c>
      <c r="B10" s="4" t="inlineStr">
        <is>
          <t>2026-09-05</t>
        </is>
      </c>
    </row>
    <row r="11">
      <c r="A11" s="3" t="inlineStr">
        <is>
          <t>Advance received (USD)</t>
        </is>
      </c>
      <c r="B11" s="5" t="n">
        <v>300</v>
      </c>
    </row>
    <row r="13" ht="32" customHeight="1">
      <c r="A13" s="6" t="inlineStr">
        <is>
          <t>#</t>
        </is>
      </c>
      <c r="B13" s="6" t="inlineStr">
        <is>
          <t>Date</t>
        </is>
      </c>
      <c r="C13" s="6" t="inlineStr">
        <is>
          <t>Description</t>
        </is>
      </c>
      <c r="D13" s="6" t="inlineStr">
        <is>
          <t>Budget line</t>
        </is>
      </c>
      <c r="E13" s="6" t="inlineStr">
        <is>
          <t>Cost category</t>
        </is>
      </c>
      <c r="F13" s="6" t="inlineStr">
        <is>
          <t>Currency</t>
        </is>
      </c>
      <c r="G13" s="6" t="inlineStr">
        <is>
          <t>Amount</t>
        </is>
      </c>
      <c r="H13" s="6" t="inlineStr">
        <is>
          <t>Exchange rate to USD</t>
        </is>
      </c>
      <c r="I13" s="6" t="inlineStr">
        <is>
          <t>USD amount</t>
        </is>
      </c>
      <c r="J13" s="6" t="inlineStr">
        <is>
          <t>Receipt ref</t>
        </is>
      </c>
      <c r="K13" s="6" t="inlineStr">
        <is>
          <t>Receipt attached (Y/N)</t>
        </is>
      </c>
    </row>
    <row r="14">
      <c r="A14" s="3" t="n">
        <v>1</v>
      </c>
      <c r="B14" s="4" t="inlineStr">
        <is>
          <t>2026-09-01</t>
        </is>
      </c>
      <c r="C14" s="4" t="inlineStr">
        <is>
          <t>Vehicle hire Mosul-Sinjar return</t>
        </is>
      </c>
      <c r="D14" s="4" t="inlineStr">
        <is>
          <t>3.2</t>
        </is>
      </c>
      <c r="E14" s="4" t="inlineStr">
        <is>
          <t>Operations</t>
        </is>
      </c>
      <c r="F14" s="4" t="inlineStr">
        <is>
          <t>IQD</t>
        </is>
      </c>
      <c r="G14" s="5" t="n">
        <v>180000</v>
      </c>
      <c r="H14" s="7" t="n">
        <v>0.00076</v>
      </c>
      <c r="I14" s="8">
        <f>G14*H14</f>
        <v/>
      </c>
      <c r="J14" s="4" t="inlineStr">
        <is>
          <t>R-01</t>
        </is>
      </c>
      <c r="K14" s="4" t="inlineStr">
        <is>
          <t>Y</t>
        </is>
      </c>
    </row>
    <row r="15">
      <c r="A15" s="3" t="n">
        <v>2</v>
      </c>
      <c r="B15" s="4" t="inlineStr">
        <is>
          <t>2026-09-01</t>
        </is>
      </c>
      <c r="C15" s="4" t="inlineStr">
        <is>
          <t>Enumerator lunch x6</t>
        </is>
      </c>
      <c r="D15" s="4" t="inlineStr">
        <is>
          <t>2.2</t>
        </is>
      </c>
      <c r="E15" s="4" t="inlineStr">
        <is>
          <t>Programme</t>
        </is>
      </c>
      <c r="F15" s="4" t="inlineStr">
        <is>
          <t>IQD</t>
        </is>
      </c>
      <c r="G15" s="5" t="n">
        <v>60000</v>
      </c>
      <c r="H15" s="7" t="n">
        <v>0.00076</v>
      </c>
      <c r="I15" s="8">
        <f>G15*H15</f>
        <v/>
      </c>
      <c r="J15" s="4" t="inlineStr">
        <is>
          <t>R-02</t>
        </is>
      </c>
      <c r="K15" s="4" t="inlineStr">
        <is>
          <t>Y</t>
        </is>
      </c>
    </row>
    <row r="16">
      <c r="A16" s="3" t="n">
        <v>3</v>
      </c>
      <c r="B16" s="4" t="inlineStr">
        <is>
          <t>2026-09-02</t>
        </is>
      </c>
      <c r="C16" s="4" t="inlineStr">
        <is>
          <t>Printing consent forms</t>
        </is>
      </c>
      <c r="D16" s="4" t="inlineStr">
        <is>
          <t>2.2</t>
        </is>
      </c>
      <c r="E16" s="4" t="inlineStr">
        <is>
          <t>Programme</t>
        </is>
      </c>
      <c r="F16" s="4" t="inlineStr">
        <is>
          <t>USD</t>
        </is>
      </c>
      <c r="G16" s="5" t="n">
        <v>18</v>
      </c>
      <c r="H16" s="7" t="n">
        <v>1</v>
      </c>
      <c r="I16" s="8">
        <f>G16*H16</f>
        <v/>
      </c>
      <c r="J16" s="4" t="inlineStr">
        <is>
          <t>R-03</t>
        </is>
      </c>
      <c r="K16" s="4" t="inlineStr">
        <is>
          <t>Y</t>
        </is>
      </c>
    </row>
    <row r="17">
      <c r="A17" s="3" t="n">
        <v>4</v>
      </c>
      <c r="B17" s="4" t="inlineStr"/>
      <c r="C17" s="4" t="inlineStr"/>
      <c r="D17" s="4" t="inlineStr"/>
      <c r="E17" s="4" t="inlineStr"/>
      <c r="F17" s="4" t="inlineStr"/>
      <c r="G17" s="4" t="inlineStr"/>
      <c r="H17" s="4" t="inlineStr"/>
      <c r="I17" s="9">
        <f>IF(G17="","",G17*H17)</f>
        <v/>
      </c>
      <c r="J17" s="4" t="inlineStr"/>
      <c r="K17" s="4" t="inlineStr"/>
    </row>
    <row r="18">
      <c r="A18" s="3" t="n">
        <v>5</v>
      </c>
      <c r="B18" s="4" t="inlineStr"/>
      <c r="C18" s="4" t="inlineStr"/>
      <c r="D18" s="4" t="inlineStr"/>
      <c r="E18" s="4" t="inlineStr"/>
      <c r="F18" s="4" t="inlineStr"/>
      <c r="G18" s="4" t="inlineStr"/>
      <c r="H18" s="4" t="inlineStr"/>
      <c r="I18" s="9">
        <f>IF(G18="","",G18*H18)</f>
        <v/>
      </c>
      <c r="J18" s="4" t="inlineStr"/>
      <c r="K18" s="4" t="inlineStr"/>
    </row>
    <row r="19">
      <c r="A19" s="3" t="n">
        <v>6</v>
      </c>
      <c r="B19" s="4" t="inlineStr"/>
      <c r="C19" s="4" t="inlineStr"/>
      <c r="D19" s="4" t="inlineStr"/>
      <c r="E19" s="4" t="inlineStr"/>
      <c r="F19" s="4" t="inlineStr"/>
      <c r="G19" s="4" t="inlineStr"/>
      <c r="H19" s="4" t="inlineStr"/>
      <c r="I19" s="9">
        <f>IF(G19="","",G19*H19)</f>
        <v/>
      </c>
      <c r="J19" s="4" t="inlineStr"/>
      <c r="K19" s="4" t="inlineStr"/>
    </row>
    <row r="20">
      <c r="A20" s="3" t="n">
        <v>7</v>
      </c>
      <c r="B20" s="4" t="inlineStr"/>
      <c r="C20" s="4" t="inlineStr"/>
      <c r="D20" s="4" t="inlineStr"/>
      <c r="E20" s="4" t="inlineStr"/>
      <c r="F20" s="4" t="inlineStr"/>
      <c r="G20" s="4" t="inlineStr"/>
      <c r="H20" s="4" t="inlineStr"/>
      <c r="I20" s="9">
        <f>IF(G20="","",G20*H20)</f>
        <v/>
      </c>
      <c r="J20" s="4" t="inlineStr"/>
      <c r="K20" s="4" t="inlineStr"/>
    </row>
    <row r="21">
      <c r="A21" s="3" t="n">
        <v>8</v>
      </c>
      <c r="B21" s="4" t="inlineStr"/>
      <c r="C21" s="4" t="inlineStr"/>
      <c r="D21" s="4" t="inlineStr"/>
      <c r="E21" s="4" t="inlineStr"/>
      <c r="F21" s="4" t="inlineStr"/>
      <c r="G21" s="4" t="inlineStr"/>
      <c r="H21" s="4" t="inlineStr"/>
      <c r="I21" s="9">
        <f>IF(G21="","",G21*H21)</f>
        <v/>
      </c>
      <c r="J21" s="4" t="inlineStr"/>
      <c r="K21" s="4" t="inlineStr"/>
    </row>
    <row r="23">
      <c r="C23" s="3" t="inlineStr">
        <is>
          <t>Total claimed (USD)</t>
        </is>
      </c>
      <c r="I23" s="8">
        <f>SUM(I14:I21)</f>
        <v/>
      </c>
    </row>
    <row r="24">
      <c r="C24" s="3" t="inlineStr">
        <is>
          <t>Less advance</t>
        </is>
      </c>
      <c r="I24" s="8">
        <f>B11</f>
        <v/>
      </c>
    </row>
    <row r="25">
      <c r="C25" s="3" t="inlineStr">
        <is>
          <t>Due to / (from) claimant</t>
        </is>
      </c>
      <c r="I25" s="10">
        <f>I23-I24</f>
        <v/>
      </c>
    </row>
    <row r="26">
      <c r="C26" s="3" t="inlineStr">
        <is>
          <t>Receipts missing</t>
        </is>
      </c>
      <c r="I26" s="3">
        <f>COUNTIF(K14:K21,"N")</f>
        <v/>
      </c>
    </row>
    <row r="27">
      <c r="C27" s="3" t="inlineStr">
        <is>
          <t>Required approver</t>
        </is>
      </c>
      <c r="I27" s="3">
        <f>IF(I23&lt;=1000,"Project Manager",IF(I23&lt;=5000,"Finance Manager",IF(I23&lt;=25000,"Operations Director","Executive Director")))</f>
        <v/>
      </c>
      <c r="J27" s="11" t="n"/>
      <c r="K27" s="12" t="n"/>
    </row>
    <row r="29">
      <c r="A29" s="3" t="inlineStr">
        <is>
          <t>Claimant signature and date</t>
        </is>
      </c>
      <c r="B29" s="11" t="n"/>
      <c r="C29" s="12" t="n"/>
      <c r="D29" s="4" t="inlineStr"/>
      <c r="E29" s="11" t="n"/>
      <c r="F29" s="11" t="n"/>
      <c r="G29" s="11" t="n"/>
      <c r="H29" s="11" t="n"/>
      <c r="I29" s="11" t="n"/>
      <c r="J29" s="11" t="n"/>
      <c r="K29" s="12" t="n"/>
    </row>
    <row r="30">
      <c r="A30" s="3" t="inlineStr">
        <is>
          <t>Line manager check (budget line, purpose)</t>
        </is>
      </c>
      <c r="B30" s="11" t="n"/>
      <c r="C30" s="12" t="n"/>
      <c r="D30" s="4" t="inlineStr"/>
      <c r="E30" s="11" t="n"/>
      <c r="F30" s="11" t="n"/>
      <c r="G30" s="11" t="n"/>
      <c r="H30" s="11" t="n"/>
      <c r="I30" s="11" t="n"/>
      <c r="J30" s="11" t="n"/>
      <c r="K30" s="12" t="n"/>
    </row>
    <row r="31">
      <c r="A31" s="3" t="inlineStr">
        <is>
          <t>Finance review (receipts, rates, coding)</t>
        </is>
      </c>
      <c r="B31" s="11" t="n"/>
      <c r="C31" s="12" t="n"/>
      <c r="D31" s="4" t="inlineStr"/>
      <c r="E31" s="11" t="n"/>
      <c r="F31" s="11" t="n"/>
      <c r="G31" s="11" t="n"/>
      <c r="H31" s="11" t="n"/>
      <c r="I31" s="11" t="n"/>
      <c r="J31" s="11" t="n"/>
      <c r="K31" s="12" t="n"/>
    </row>
    <row r="32">
      <c r="A32" s="3" t="inlineStr">
        <is>
          <t>Approver signature and date</t>
        </is>
      </c>
      <c r="B32" s="11" t="n"/>
      <c r="C32" s="12" t="n"/>
      <c r="D32" s="4" t="inlineStr"/>
      <c r="E32" s="11" t="n"/>
      <c r="F32" s="11" t="n"/>
      <c r="G32" s="11" t="n"/>
      <c r="H32" s="11" t="n"/>
      <c r="I32" s="11" t="n"/>
      <c r="J32" s="11" t="n"/>
      <c r="K32" s="12" t="n"/>
    </row>
    <row r="33">
      <c r="A33" s="3" t="inlineStr">
        <is>
          <t>Paid by / date / reference</t>
        </is>
      </c>
      <c r="B33" s="11" t="n"/>
      <c r="C33" s="12" t="n"/>
      <c r="D33" s="4" t="inlineStr"/>
      <c r="E33" s="11" t="n"/>
      <c r="F33" s="11" t="n"/>
      <c r="G33" s="11" t="n"/>
      <c r="H33" s="11" t="n"/>
      <c r="I33" s="11" t="n"/>
      <c r="J33" s="11" t="n"/>
      <c r="K33" s="12" t="n"/>
    </row>
    <row r="35">
      <c r="A35" s="2" t="inlineStr">
        <is>
          <t>Rules: claims within 10 days of expense. Cash payments capped at USD 500 per transaction. Exchange rate is the rate on the transaction date, source recorded. Claims without receipts above USD 20 are not reimbursed without a signed missing-receipt declaration.</t>
        </is>
      </c>
    </row>
  </sheetData>
  <mergeCells count="11">
    <mergeCell ref="A33:C33"/>
    <mergeCell ref="D30:K30"/>
    <mergeCell ref="A32:C32"/>
    <mergeCell ref="I27:K27"/>
    <mergeCell ref="A31:C31"/>
    <mergeCell ref="D33:K33"/>
    <mergeCell ref="D29:K29"/>
    <mergeCell ref="A30:C30"/>
    <mergeCell ref="A29:C29"/>
    <mergeCell ref="D31:K31"/>
    <mergeCell ref="D32:K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2026-09-08T17:30:22Z</dcterms:created>
  <dcterms:modified xmlns:dcterms="http://purl.org/dc/terms/" xmlns:xsi="http://www.w3.org/2001/XMLSchema-instance" xsi:type="dcterms:W3CDTF">2026-09-08T17:30:22Z</dcterms:modified>
</cp:coreProperties>
</file>