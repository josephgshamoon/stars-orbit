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Phasing" sheetId="2" state="visible" r:id="rId2"/>
    <sheet xmlns:r="http://schemas.openxmlformats.org/officeDocument/2006/relationships" name="Donor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;(#,##0);-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9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4" fontId="4" fillId="2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SOC</author>
  </authors>
  <commentList>
    <comment ref="I26" authorId="0" shapeId="0">
      <text>
        <t>Positive = forecast overspend, needs ED decision and realignment plan.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10" customWidth="1" min="4" max="4"/>
    <col width="10" customWidth="1" min="5" max="5"/>
    <col width="7" customWidth="1" min="6" max="6"/>
    <col width="9" customWidth="1" min="7" max="7"/>
    <col width="9" customWidth="1" min="8" max="8"/>
    <col width="13" customWidth="1" min="9" max="9"/>
    <col width="13" customWidth="1" min="10" max="10"/>
    <col width="11" customWidth="1" min="11" max="11"/>
    <col width="13" customWidth="1" min="12" max="12"/>
    <col width="11" customWidth="1" min="13" max="13"/>
    <col width="14" customWidth="1" min="14" max="14"/>
    <col width="12" customWidth="1" min="15" max="15"/>
    <col width="9" customWidth="1" min="16" max="16"/>
    <col width="10" customWidth="1" min="17" max="17"/>
    <col width="11" customWidth="1" min="18" max="18"/>
    <col width="9" customWidth="1" min="19" max="19"/>
    <col width="14" customWidth="1" min="20" max="20"/>
    <col width="30" customWidth="1" min="21" max="21"/>
  </cols>
  <sheetData>
    <row r="1">
      <c r="A1" s="1" t="inlineStr">
        <is>
          <t>Project Budget Worksheet (USD)</t>
        </is>
      </c>
    </row>
    <row r="2">
      <c r="A2" s="2" t="inlineStr">
        <is>
          <t>For grants above USD 100k. Approved column locks on award. Actuals and commitments posted weekly by FM. Variance flag at 10%.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>
      <c r="A5" s="3" t="inlineStr">
        <is>
          <t>Project</t>
        </is>
      </c>
      <c r="B5" s="4" t="inlineStr">
        <is>
          <t>UNHCR-PPA-2026 Multipurpose cash, Ninewa</t>
        </is>
      </c>
    </row>
    <row r="6">
      <c r="A6" s="3" t="inlineStr">
        <is>
          <t>Donor</t>
        </is>
      </c>
      <c r="B6" s="4" t="inlineStr">
        <is>
          <t>UNHCR</t>
        </is>
      </c>
    </row>
    <row r="7">
      <c r="A7" s="3" t="inlineStr">
        <is>
          <t>Start</t>
        </is>
      </c>
      <c r="B7" s="4" t="inlineStr">
        <is>
          <t>2026-01-01</t>
        </is>
      </c>
      <c r="C7" s="3" t="inlineStr">
        <is>
          <t>End</t>
        </is>
      </c>
      <c r="D7" s="4" t="inlineStr">
        <is>
          <t>2026-12-31</t>
        </is>
      </c>
    </row>
    <row r="8">
      <c r="A8" s="3" t="inlineStr">
        <is>
          <t>Months elapsed</t>
        </is>
      </c>
      <c r="B8" s="4" t="n">
        <v>8</v>
      </c>
      <c r="C8" s="3" t="inlineStr">
        <is>
          <t>Total months</t>
        </is>
      </c>
      <c r="D8" s="4" t="n">
        <v>12</v>
      </c>
    </row>
    <row r="9">
      <c r="A9" s="3" t="inlineStr">
        <is>
          <t>Budget flexibility between lines without donor approval</t>
        </is>
      </c>
      <c r="B9" s="5" t="n">
        <v>0.1</v>
      </c>
    </row>
    <row r="11" ht="32" customHeight="1">
      <c r="A11" s="6" t="inlineStr">
        <is>
          <t>Line code</t>
        </is>
      </c>
      <c r="B11" s="6" t="inlineStr">
        <is>
          <t>Category</t>
        </is>
      </c>
      <c r="C11" s="6" t="inlineStr">
        <is>
          <t>Description</t>
        </is>
      </c>
      <c r="D11" s="6" t="inlineStr">
        <is>
          <t>Unit</t>
        </is>
      </c>
      <c r="E11" s="6" t="inlineStr">
        <is>
          <t>Unit cost</t>
        </is>
      </c>
      <c r="F11" s="6" t="inlineStr">
        <is>
          <t>Qty</t>
        </is>
      </c>
      <c r="G11" s="6" t="inlineStr">
        <is>
          <t>Frequency</t>
        </is>
      </c>
      <c r="H11" s="6" t="inlineStr">
        <is>
          <t>Donor share %</t>
        </is>
      </c>
      <c r="I11" s="6" t="inlineStr">
        <is>
          <t>Approved total</t>
        </is>
      </c>
      <c r="J11" s="6" t="inlineStr">
        <is>
          <t>Donor approved</t>
        </is>
      </c>
      <c r="K11" s="6" t="inlineStr">
        <is>
          <t>Cost share</t>
        </is>
      </c>
      <c r="L11" s="6" t="inlineStr">
        <is>
          <t>Actual to date</t>
        </is>
      </c>
      <c r="M11" s="6" t="inlineStr">
        <is>
          <t>Committed</t>
        </is>
      </c>
      <c r="N11" s="6" t="inlineStr">
        <is>
          <t>Total spent + committed</t>
        </is>
      </c>
      <c r="O11" s="6" t="inlineStr">
        <is>
          <t>Remaining</t>
        </is>
      </c>
      <c r="P11" s="6" t="inlineStr">
        <is>
          <t>% burned</t>
        </is>
      </c>
      <c r="Q11" s="6" t="inlineStr">
        <is>
          <t>Expected % (time)</t>
        </is>
      </c>
      <c r="R11" s="6" t="inlineStr">
        <is>
          <t>Variance vs time</t>
        </is>
      </c>
      <c r="S11" s="6" t="inlineStr">
        <is>
          <t>Flag</t>
        </is>
      </c>
      <c r="T11" s="6" t="inlineStr">
        <is>
          <t>Forecast to completion</t>
        </is>
      </c>
      <c r="U11" s="6" t="inlineStr">
        <is>
          <t>Note</t>
        </is>
      </c>
    </row>
    <row r="12">
      <c r="A12" s="4" t="inlineStr">
        <is>
          <t>1.1</t>
        </is>
      </c>
      <c r="B12" s="4" t="inlineStr">
        <is>
          <t>Personnel</t>
        </is>
      </c>
      <c r="C12" s="4" t="inlineStr">
        <is>
          <t>Project Manager (60%)</t>
        </is>
      </c>
      <c r="D12" s="4" t="inlineStr">
        <is>
          <t>month</t>
        </is>
      </c>
      <c r="E12" s="7" t="n">
        <v>3000</v>
      </c>
      <c r="F12" s="4" t="n">
        <v>1</v>
      </c>
      <c r="G12" s="4" t="n">
        <v>12</v>
      </c>
      <c r="H12" s="5" t="n">
        <v>1</v>
      </c>
      <c r="I12" s="8">
        <f>E12*F12*G12</f>
        <v/>
      </c>
      <c r="J12" s="8">
        <f>I12*H12</f>
        <v/>
      </c>
      <c r="K12" s="8">
        <f>I12-J12</f>
        <v/>
      </c>
      <c r="L12" s="9" t="n">
        <v>21600</v>
      </c>
      <c r="M12" s="9" t="n">
        <v>0</v>
      </c>
      <c r="N12" s="8">
        <f>L12+M12</f>
        <v/>
      </c>
      <c r="O12" s="8">
        <f>I12-N12</f>
        <v/>
      </c>
      <c r="P12" s="10">
        <f>IF(I12=0,0,N12/I12)</f>
        <v/>
      </c>
      <c r="Q12" s="10">
        <f>IF($D$8=0,0,$B$8/$D$8)</f>
        <v/>
      </c>
      <c r="R12" s="10">
        <f>P12-Q12</f>
        <v/>
      </c>
      <c r="S12" s="3">
        <f>IF(ABS(R12)&gt;$B$9,"Review","OK")</f>
        <v/>
      </c>
      <c r="T12" s="8">
        <f>IF($B$8=0,I12,L12/$B$8*$D$8+M12)</f>
        <v/>
      </c>
      <c r="U12" s="4" t="inlineStr"/>
    </row>
    <row r="13">
      <c r="A13" s="4" t="inlineStr">
        <is>
          <t>1.2</t>
        </is>
      </c>
      <c r="B13" s="4" t="inlineStr">
        <is>
          <t>Personnel</t>
        </is>
      </c>
      <c r="C13" s="4" t="inlineStr">
        <is>
          <t>M&amp;E Officer (60%)</t>
        </is>
      </c>
      <c r="D13" s="4" t="inlineStr">
        <is>
          <t>month</t>
        </is>
      </c>
      <c r="E13" s="7" t="n">
        <v>1800</v>
      </c>
      <c r="F13" s="4" t="n">
        <v>1</v>
      </c>
      <c r="G13" s="4" t="n">
        <v>12</v>
      </c>
      <c r="H13" s="5" t="n">
        <v>1</v>
      </c>
      <c r="I13" s="8">
        <f>E13*F13*G13</f>
        <v/>
      </c>
      <c r="J13" s="8">
        <f>I13*H13</f>
        <v/>
      </c>
      <c r="K13" s="8">
        <f>I13-J13</f>
        <v/>
      </c>
      <c r="L13" s="9" t="n">
        <v>12960</v>
      </c>
      <c r="M13" s="9" t="n">
        <v>0</v>
      </c>
      <c r="N13" s="8">
        <f>L13+M13</f>
        <v/>
      </c>
      <c r="O13" s="8">
        <f>I13-N13</f>
        <v/>
      </c>
      <c r="P13" s="10">
        <f>IF(I13=0,0,N13/I13)</f>
        <v/>
      </c>
      <c r="Q13" s="10">
        <f>IF($D$8=0,0,$B$8/$D$8)</f>
        <v/>
      </c>
      <c r="R13" s="10">
        <f>P13-Q13</f>
        <v/>
      </c>
      <c r="S13" s="3">
        <f>IF(ABS(R13)&gt;$B$9,"Review","OK")</f>
        <v/>
      </c>
      <c r="T13" s="8">
        <f>IF($B$8=0,I13,L13/$B$8*$D$8+M13)</f>
        <v/>
      </c>
      <c r="U13" s="4" t="inlineStr"/>
    </row>
    <row r="14">
      <c r="A14" s="4" t="inlineStr">
        <is>
          <t>1.3</t>
        </is>
      </c>
      <c r="B14" s="4" t="inlineStr">
        <is>
          <t>Personnel</t>
        </is>
      </c>
      <c r="C14" s="4" t="inlineStr">
        <is>
          <t>Field Officers x4</t>
        </is>
      </c>
      <c r="D14" s="4" t="inlineStr">
        <is>
          <t>month</t>
        </is>
      </c>
      <c r="E14" s="7" t="n">
        <v>1100</v>
      </c>
      <c r="F14" s="4" t="n">
        <v>4</v>
      </c>
      <c r="G14" s="4" t="n">
        <v>12</v>
      </c>
      <c r="H14" s="5" t="n">
        <v>1</v>
      </c>
      <c r="I14" s="8">
        <f>E14*F14*G14</f>
        <v/>
      </c>
      <c r="J14" s="8">
        <f>I14*H14</f>
        <v/>
      </c>
      <c r="K14" s="8">
        <f>I14-J14</f>
        <v/>
      </c>
      <c r="L14" s="9" t="n">
        <v>35200</v>
      </c>
      <c r="M14" s="9" t="n">
        <v>0</v>
      </c>
      <c r="N14" s="8">
        <f>L14+M14</f>
        <v/>
      </c>
      <c r="O14" s="8">
        <f>I14-N14</f>
        <v/>
      </c>
      <c r="P14" s="10">
        <f>IF(I14=0,0,N14/I14)</f>
        <v/>
      </c>
      <c r="Q14" s="10">
        <f>IF($D$8=0,0,$B$8/$D$8)</f>
        <v/>
      </c>
      <c r="R14" s="10">
        <f>P14-Q14</f>
        <v/>
      </c>
      <c r="S14" s="3">
        <f>IF(ABS(R14)&gt;$B$9,"Review","OK")</f>
        <v/>
      </c>
      <c r="T14" s="8">
        <f>IF($B$8=0,I14,L14/$B$8*$D$8+M14)</f>
        <v/>
      </c>
      <c r="U14" s="4" t="inlineStr"/>
    </row>
    <row r="15">
      <c r="A15" s="4" t="inlineStr">
        <is>
          <t>2.1</t>
        </is>
      </c>
      <c r="B15" s="4" t="inlineStr">
        <is>
          <t>Programme</t>
        </is>
      </c>
      <c r="C15" s="4" t="inlineStr">
        <is>
          <t>Multipurpose cash transfers</t>
        </is>
      </c>
      <c r="D15" s="4" t="inlineStr">
        <is>
          <t>household</t>
        </is>
      </c>
      <c r="E15" s="7" t="n">
        <v>400</v>
      </c>
      <c r="F15" s="4" t="n">
        <v>1200</v>
      </c>
      <c r="G15" s="4" t="n">
        <v>1</v>
      </c>
      <c r="H15" s="5" t="n">
        <v>1</v>
      </c>
      <c r="I15" s="8">
        <f>E15*F15*G15</f>
        <v/>
      </c>
      <c r="J15" s="8">
        <f>I15*H15</f>
        <v/>
      </c>
      <c r="K15" s="8">
        <f>I15-J15</f>
        <v/>
      </c>
      <c r="L15" s="9" t="n">
        <v>320000</v>
      </c>
      <c r="M15" s="9" t="n">
        <v>30000</v>
      </c>
      <c r="N15" s="8">
        <f>L15+M15</f>
        <v/>
      </c>
      <c r="O15" s="8">
        <f>I15-N15</f>
        <v/>
      </c>
      <c r="P15" s="10">
        <f>IF(I15=0,0,N15/I15)</f>
        <v/>
      </c>
      <c r="Q15" s="10">
        <f>IF($D$8=0,0,$B$8/$D$8)</f>
        <v/>
      </c>
      <c r="R15" s="10">
        <f>P15-Q15</f>
        <v/>
      </c>
      <c r="S15" s="3">
        <f>IF(ABS(R15)&gt;$B$9,"Review","OK")</f>
        <v/>
      </c>
      <c r="T15" s="8">
        <f>IF($B$8=0,I15,L15/$B$8*$D$8+M15)</f>
        <v/>
      </c>
      <c r="U15" s="4" t="inlineStr"/>
    </row>
    <row r="16">
      <c r="A16" s="4" t="inlineStr">
        <is>
          <t>2.2</t>
        </is>
      </c>
      <c r="B16" s="4" t="inlineStr">
        <is>
          <t>Programme</t>
        </is>
      </c>
      <c r="C16" s="4" t="inlineStr">
        <is>
          <t>Post-distribution monitoring (enumerators)</t>
        </is>
      </c>
      <c r="D16" s="4" t="inlineStr">
        <is>
          <t>day</t>
        </is>
      </c>
      <c r="E16" s="7" t="n">
        <v>25</v>
      </c>
      <c r="F16" s="4" t="n">
        <v>240</v>
      </c>
      <c r="G16" s="4" t="n">
        <v>1</v>
      </c>
      <c r="H16" s="5" t="n">
        <v>1</v>
      </c>
      <c r="I16" s="8">
        <f>E16*F16*G16</f>
        <v/>
      </c>
      <c r="J16" s="8">
        <f>I16*H16</f>
        <v/>
      </c>
      <c r="K16" s="8">
        <f>I16-J16</f>
        <v/>
      </c>
      <c r="L16" s="9" t="n">
        <v>4000</v>
      </c>
      <c r="M16" s="9" t="n">
        <v>0</v>
      </c>
      <c r="N16" s="8">
        <f>L16+M16</f>
        <v/>
      </c>
      <c r="O16" s="8">
        <f>I16-N16</f>
        <v/>
      </c>
      <c r="P16" s="10">
        <f>IF(I16=0,0,N16/I16)</f>
        <v/>
      </c>
      <c r="Q16" s="10">
        <f>IF($D$8=0,0,$B$8/$D$8)</f>
        <v/>
      </c>
      <c r="R16" s="10">
        <f>P16-Q16</f>
        <v/>
      </c>
      <c r="S16" s="3">
        <f>IF(ABS(R16)&gt;$B$9,"Review","OK")</f>
        <v/>
      </c>
      <c r="T16" s="8">
        <f>IF($B$8=0,I16,L16/$B$8*$D$8+M16)</f>
        <v/>
      </c>
      <c r="U16" s="4" t="inlineStr"/>
    </row>
    <row r="17">
      <c r="A17" s="4" t="inlineStr">
        <is>
          <t>2.3</t>
        </is>
      </c>
      <c r="B17" s="4" t="inlineStr">
        <is>
          <t>Programme</t>
        </is>
      </c>
      <c r="C17" s="4" t="inlineStr">
        <is>
          <t>Cash delivery service fees</t>
        </is>
      </c>
      <c r="D17" s="4" t="inlineStr">
        <is>
          <t>transfer</t>
        </is>
      </c>
      <c r="E17" s="7" t="n">
        <v>3</v>
      </c>
      <c r="F17" s="4" t="n">
        <v>1200</v>
      </c>
      <c r="G17" s="4" t="n">
        <v>1</v>
      </c>
      <c r="H17" s="5" t="n">
        <v>1</v>
      </c>
      <c r="I17" s="8">
        <f>E17*F17*G17</f>
        <v/>
      </c>
      <c r="J17" s="8">
        <f>I17*H17</f>
        <v/>
      </c>
      <c r="K17" s="8">
        <f>I17-J17</f>
        <v/>
      </c>
      <c r="L17" s="9" t="n">
        <v>2400</v>
      </c>
      <c r="M17" s="9" t="n">
        <v>0</v>
      </c>
      <c r="N17" s="8">
        <f>L17+M17</f>
        <v/>
      </c>
      <c r="O17" s="8">
        <f>I17-N17</f>
        <v/>
      </c>
      <c r="P17" s="10">
        <f>IF(I17=0,0,N17/I17)</f>
        <v/>
      </c>
      <c r="Q17" s="10">
        <f>IF($D$8=0,0,$B$8/$D$8)</f>
        <v/>
      </c>
      <c r="R17" s="10">
        <f>P17-Q17</f>
        <v/>
      </c>
      <c r="S17" s="3">
        <f>IF(ABS(R17)&gt;$B$9,"Review","OK")</f>
        <v/>
      </c>
      <c r="T17" s="8">
        <f>IF($B$8=0,I17,L17/$B$8*$D$8+M17)</f>
        <v/>
      </c>
      <c r="U17" s="4" t="inlineStr"/>
    </row>
    <row r="18">
      <c r="A18" s="4" t="inlineStr">
        <is>
          <t>3.1</t>
        </is>
      </c>
      <c r="B18" s="4" t="inlineStr">
        <is>
          <t>Operations</t>
        </is>
      </c>
      <c r="C18" s="4" t="inlineStr">
        <is>
          <t>Office rent Mosul (shared 40%)</t>
        </is>
      </c>
      <c r="D18" s="4" t="inlineStr">
        <is>
          <t>month</t>
        </is>
      </c>
      <c r="E18" s="7" t="n">
        <v>800</v>
      </c>
      <c r="F18" s="4" t="n">
        <v>1</v>
      </c>
      <c r="G18" s="4" t="n">
        <v>12</v>
      </c>
      <c r="H18" s="5" t="n">
        <v>1</v>
      </c>
      <c r="I18" s="8">
        <f>E18*F18*G18</f>
        <v/>
      </c>
      <c r="J18" s="8">
        <f>I18*H18</f>
        <v/>
      </c>
      <c r="K18" s="8">
        <f>I18-J18</f>
        <v/>
      </c>
      <c r="L18" s="9" t="n">
        <v>3840</v>
      </c>
      <c r="M18" s="9" t="n">
        <v>0</v>
      </c>
      <c r="N18" s="8">
        <f>L18+M18</f>
        <v/>
      </c>
      <c r="O18" s="8">
        <f>I18-N18</f>
        <v/>
      </c>
      <c r="P18" s="10">
        <f>IF(I18=0,0,N18/I18)</f>
        <v/>
      </c>
      <c r="Q18" s="10">
        <f>IF($D$8=0,0,$B$8/$D$8)</f>
        <v/>
      </c>
      <c r="R18" s="10">
        <f>P18-Q18</f>
        <v/>
      </c>
      <c r="S18" s="3">
        <f>IF(ABS(R18)&gt;$B$9,"Review","OK")</f>
        <v/>
      </c>
      <c r="T18" s="8">
        <f>IF($B$8=0,I18,L18/$B$8*$D$8+M18)</f>
        <v/>
      </c>
      <c r="U18" s="4" t="inlineStr"/>
    </row>
    <row r="19">
      <c r="A19" s="4" t="inlineStr">
        <is>
          <t>3.2</t>
        </is>
      </c>
      <c r="B19" s="4" t="inlineStr">
        <is>
          <t>Operations</t>
        </is>
      </c>
      <c r="C19" s="4" t="inlineStr">
        <is>
          <t>Vehicle hire and fuel</t>
        </is>
      </c>
      <c r="D19" s="4" t="inlineStr">
        <is>
          <t>month</t>
        </is>
      </c>
      <c r="E19" s="7" t="n">
        <v>900</v>
      </c>
      <c r="F19" s="4" t="n">
        <v>1</v>
      </c>
      <c r="G19" s="4" t="n">
        <v>12</v>
      </c>
      <c r="H19" s="5" t="n">
        <v>1</v>
      </c>
      <c r="I19" s="8">
        <f>E19*F19*G19</f>
        <v/>
      </c>
      <c r="J19" s="8">
        <f>I19*H19</f>
        <v/>
      </c>
      <c r="K19" s="8">
        <f>I19-J19</f>
        <v/>
      </c>
      <c r="L19" s="9" t="n">
        <v>7200</v>
      </c>
      <c r="M19" s="9" t="n">
        <v>1500</v>
      </c>
      <c r="N19" s="8">
        <f>L19+M19</f>
        <v/>
      </c>
      <c r="O19" s="8">
        <f>I19-N19</f>
        <v/>
      </c>
      <c r="P19" s="10">
        <f>IF(I19=0,0,N19/I19)</f>
        <v/>
      </c>
      <c r="Q19" s="10">
        <f>IF($D$8=0,0,$B$8/$D$8)</f>
        <v/>
      </c>
      <c r="R19" s="10">
        <f>P19-Q19</f>
        <v/>
      </c>
      <c r="S19" s="3">
        <f>IF(ABS(R19)&gt;$B$9,"Review","OK")</f>
        <v/>
      </c>
      <c r="T19" s="8">
        <f>IF($B$8=0,I19,L19/$B$8*$D$8+M19)</f>
        <v/>
      </c>
      <c r="U19" s="4" t="inlineStr"/>
    </row>
    <row r="20">
      <c r="A20" s="4" t="inlineStr">
        <is>
          <t>3.3</t>
        </is>
      </c>
      <c r="B20" s="4" t="inlineStr">
        <is>
          <t>Operations</t>
        </is>
      </c>
      <c r="C20" s="4" t="inlineStr">
        <is>
          <t>Translation services</t>
        </is>
      </c>
      <c r="D20" s="4" t="inlineStr">
        <is>
          <t>1000 words</t>
        </is>
      </c>
      <c r="E20" s="7" t="n">
        <v>40</v>
      </c>
      <c r="F20" s="4" t="n">
        <v>60</v>
      </c>
      <c r="G20" s="4" t="n">
        <v>1</v>
      </c>
      <c r="H20" s="5" t="n">
        <v>1</v>
      </c>
      <c r="I20" s="8">
        <f>E20*F20*G20</f>
        <v/>
      </c>
      <c r="J20" s="8">
        <f>I20*H20</f>
        <v/>
      </c>
      <c r="K20" s="8">
        <f>I20-J20</f>
        <v/>
      </c>
      <c r="L20" s="9" t="n">
        <v>1200</v>
      </c>
      <c r="M20" s="9" t="n">
        <v>0</v>
      </c>
      <c r="N20" s="8">
        <f>L20+M20</f>
        <v/>
      </c>
      <c r="O20" s="8">
        <f>I20-N20</f>
        <v/>
      </c>
      <c r="P20" s="10">
        <f>IF(I20=0,0,N20/I20)</f>
        <v/>
      </c>
      <c r="Q20" s="10">
        <f>IF($D$8=0,0,$B$8/$D$8)</f>
        <v/>
      </c>
      <c r="R20" s="10">
        <f>P20-Q20</f>
        <v/>
      </c>
      <c r="S20" s="3">
        <f>IF(ABS(R20)&gt;$B$9,"Review","OK")</f>
        <v/>
      </c>
      <c r="T20" s="8">
        <f>IF($B$8=0,I20,L20/$B$8*$D$8+M20)</f>
        <v/>
      </c>
      <c r="U20" s="4" t="inlineStr"/>
    </row>
    <row r="21">
      <c r="A21" s="4" t="inlineStr">
        <is>
          <t>4.1</t>
        </is>
      </c>
      <c r="B21" s="4" t="inlineStr">
        <is>
          <t>Indirect</t>
        </is>
      </c>
      <c r="C21" s="4" t="inlineStr">
        <is>
          <t>Indirect cost recovery 7%</t>
        </is>
      </c>
      <c r="D21" s="4" t="inlineStr">
        <is>
          <t>lump</t>
        </is>
      </c>
      <c r="E21" s="7" t="n">
        <v>1</v>
      </c>
      <c r="F21" s="4" t="n">
        <v>1</v>
      </c>
      <c r="G21" s="4" t="n">
        <v>1</v>
      </c>
      <c r="H21" s="5" t="n">
        <v>1</v>
      </c>
      <c r="I21" s="8">
        <f>E21*F21*G21</f>
        <v/>
      </c>
      <c r="J21" s="8">
        <f>I21*H21</f>
        <v/>
      </c>
      <c r="K21" s="8">
        <f>I21-J21</f>
        <v/>
      </c>
      <c r="L21" s="9" t="n">
        <v>22000</v>
      </c>
      <c r="M21" s="9" t="n">
        <v>0</v>
      </c>
      <c r="N21" s="8">
        <f>L21+M21</f>
        <v/>
      </c>
      <c r="O21" s="8">
        <f>I21-N21</f>
        <v/>
      </c>
      <c r="P21" s="10">
        <f>IF(I21=0,0,N21/I21)</f>
        <v/>
      </c>
      <c r="Q21" s="10">
        <f>IF($D$8=0,0,$B$8/$D$8)</f>
        <v/>
      </c>
      <c r="R21" s="10">
        <f>P21-Q21</f>
        <v/>
      </c>
      <c r="S21" s="3">
        <f>IF(ABS(R21)&gt;$B$9,"Review","OK")</f>
        <v/>
      </c>
      <c r="T21" s="8">
        <f>IF($B$8=0,I21,L21/$B$8*$D$8+M21)</f>
        <v/>
      </c>
      <c r="U21" s="4" t="inlineStr"/>
    </row>
    <row r="22">
      <c r="A22" s="11" t="inlineStr">
        <is>
          <t>TOTAL</t>
        </is>
      </c>
      <c r="I22" s="8">
        <f>SUM(I12:I21)</f>
        <v/>
      </c>
      <c r="J22" s="8">
        <f>SUM(J12:J21)</f>
        <v/>
      </c>
      <c r="K22" s="8">
        <f>SUM(K12:K21)</f>
        <v/>
      </c>
      <c r="L22" s="8">
        <f>SUM(L12:L21)</f>
        <v/>
      </c>
      <c r="M22" s="8">
        <f>SUM(M12:M21)</f>
        <v/>
      </c>
      <c r="N22" s="8">
        <f>SUM(N12:N21)</f>
        <v/>
      </c>
      <c r="O22" s="8">
        <f>SUM(O12:O21)</f>
        <v/>
      </c>
      <c r="P22" s="10">
        <f>IF(I22=0,0,N22/I22)</f>
        <v/>
      </c>
      <c r="Q22" s="10">
        <f>IF($D$8=0,0,$B$8/$D$8)</f>
        <v/>
      </c>
      <c r="R22" s="10">
        <f>P22-Q22</f>
        <v/>
      </c>
      <c r="S22" s="3">
        <f>IF(ABS(R22)&gt;$B$9,"Review","OK")</f>
        <v/>
      </c>
      <c r="T22" s="8">
        <f>SUM(T12:T21)</f>
        <v/>
      </c>
    </row>
    <row r="24">
      <c r="A24" s="3" t="inlineStr">
        <is>
          <t>Monthly burn rate (actual / months elapsed)</t>
        </is>
      </c>
      <c r="I24" s="8">
        <f>IF($B$8=0,0,L22/$B$8)</f>
        <v/>
      </c>
    </row>
    <row r="25">
      <c r="A25" s="3" t="inlineStr">
        <is>
          <t>Months of budget remaining at current burn</t>
        </is>
      </c>
      <c r="I25" s="12">
        <f>IF(I24=0,0,O22/I24)</f>
        <v/>
      </c>
    </row>
    <row r="26">
      <c r="A26" s="3" t="inlineStr">
        <is>
          <t>Forecast over / (under) spend at completion</t>
        </is>
      </c>
      <c r="I26" s="13">
        <f>T22-I22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3" customWidth="1" min="7" max="7"/>
    <col width="13" customWidth="1" min="8" max="8"/>
    <col width="14" customWidth="1" min="9" max="9"/>
    <col width="16" customWidth="1" min="10" max="10"/>
  </cols>
  <sheetData>
    <row r="1">
      <c r="A1" s="1" t="inlineStr">
        <is>
          <t>Monthly phasing and cash forecast</t>
        </is>
      </c>
    </row>
    <row r="2">
      <c r="A2" s="2" t="inlineStr">
        <is>
          <t>Plan column per month is entered from the workplan. Actual per month from ledger export. 90-day cash need drives tranche requests 30 days ahead.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6" t="inlineStr">
        <is>
          <t>Month</t>
        </is>
      </c>
      <c r="B5" s="6" t="inlineStr">
        <is>
          <t>Planned spend</t>
        </is>
      </c>
      <c r="C5" s="6" t="inlineStr">
        <is>
          <t>Actual spend</t>
        </is>
      </c>
      <c r="D5" s="6" t="inlineStr">
        <is>
          <t>Cumulative plan</t>
        </is>
      </c>
      <c r="E5" s="6" t="inlineStr">
        <is>
          <t>Cumulative actual</t>
        </is>
      </c>
      <c r="F5" s="6" t="inlineStr">
        <is>
          <t>Variance</t>
        </is>
      </c>
      <c r="G5" s="6" t="inlineStr">
        <is>
          <t>Cash received</t>
        </is>
      </c>
      <c r="H5" s="6" t="inlineStr">
        <is>
          <t>Cash balance</t>
        </is>
      </c>
      <c r="I5" s="6" t="inlineStr">
        <is>
          <t>Next 90-day need</t>
        </is>
      </c>
      <c r="J5" s="6" t="inlineStr">
        <is>
          <t>Tranche request due</t>
        </is>
      </c>
    </row>
    <row r="6">
      <c r="A6" s="4" t="inlineStr">
        <is>
          <t>2026-01</t>
        </is>
      </c>
      <c r="B6" s="9" t="n">
        <v>20000</v>
      </c>
      <c r="C6" s="9" t="n">
        <v>15200</v>
      </c>
      <c r="D6" s="8">
        <f>SUM($B$6:B6)</f>
        <v/>
      </c>
      <c r="E6" s="8">
        <f>SUM($C$6:C6)</f>
        <v/>
      </c>
      <c r="F6" s="13">
        <f>IF(C6="","",C6-B6)</f>
        <v/>
      </c>
      <c r="G6" s="9" t="n">
        <v>100000</v>
      </c>
      <c r="H6" s="13">
        <f>SUM($G$6:G6)-E6</f>
        <v/>
      </c>
      <c r="I6" s="8">
        <f>SUM(B7:B9)</f>
        <v/>
      </c>
      <c r="J6" s="3">
        <f>IF(H6&lt;I6,"Request now","Covered")</f>
        <v/>
      </c>
    </row>
    <row r="7">
      <c r="A7" s="4" t="inlineStr">
        <is>
          <t>2026-02</t>
        </is>
      </c>
      <c r="B7" s="9" t="n">
        <v>25000</v>
      </c>
      <c r="C7" s="9" t="n">
        <v>22800</v>
      </c>
      <c r="D7" s="8">
        <f>SUM($B$6:B7)</f>
        <v/>
      </c>
      <c r="E7" s="8">
        <f>SUM($C$6:C7)</f>
        <v/>
      </c>
      <c r="F7" s="13">
        <f>IF(C7="","",C7-B7)</f>
        <v/>
      </c>
      <c r="G7" s="9" t="n">
        <v>0</v>
      </c>
      <c r="H7" s="13">
        <f>SUM($G$6:G7)-E7</f>
        <v/>
      </c>
      <c r="I7" s="8">
        <f>SUM(B8:B10)</f>
        <v/>
      </c>
      <c r="J7" s="3">
        <f>IF(H7&lt;I7,"Request now","Covered")</f>
        <v/>
      </c>
    </row>
    <row r="8">
      <c r="A8" s="4" t="inlineStr">
        <is>
          <t>2026-03</t>
        </is>
      </c>
      <c r="B8" s="9" t="n">
        <v>40000</v>
      </c>
      <c r="C8" s="9" t="n">
        <v>38900</v>
      </c>
      <c r="D8" s="8">
        <f>SUM($B$6:B8)</f>
        <v/>
      </c>
      <c r="E8" s="8">
        <f>SUM($C$6:C8)</f>
        <v/>
      </c>
      <c r="F8" s="13">
        <f>IF(C8="","",C8-B8)</f>
        <v/>
      </c>
      <c r="G8" s="9" t="n">
        <v>0</v>
      </c>
      <c r="H8" s="13">
        <f>SUM($G$6:G8)-E8</f>
        <v/>
      </c>
      <c r="I8" s="8">
        <f>SUM(B9:B11)</f>
        <v/>
      </c>
      <c r="J8" s="3">
        <f>IF(H8&lt;I8,"Request now","Covered")</f>
        <v/>
      </c>
    </row>
    <row r="9">
      <c r="A9" s="4" t="inlineStr">
        <is>
          <t>2026-04</t>
        </is>
      </c>
      <c r="B9" s="9" t="n">
        <v>45000</v>
      </c>
      <c r="C9" s="9" t="n">
        <v>44100</v>
      </c>
      <c r="D9" s="8">
        <f>SUM($B$6:B9)</f>
        <v/>
      </c>
      <c r="E9" s="8">
        <f>SUM($C$6:C9)</f>
        <v/>
      </c>
      <c r="F9" s="13">
        <f>IF(C9="","",C9-B9)</f>
        <v/>
      </c>
      <c r="G9" s="9" t="n">
        <v>100000</v>
      </c>
      <c r="H9" s="13">
        <f>SUM($G$6:G9)-E9</f>
        <v/>
      </c>
      <c r="I9" s="8">
        <f>SUM(B10:B12)</f>
        <v/>
      </c>
      <c r="J9" s="3">
        <f>IF(H9&lt;I9,"Request now","Covered")</f>
        <v/>
      </c>
    </row>
    <row r="10">
      <c r="A10" s="4" t="inlineStr">
        <is>
          <t>2026-05</t>
        </is>
      </c>
      <c r="B10" s="9" t="n">
        <v>45000</v>
      </c>
      <c r="C10" s="9" t="n">
        <v>46700</v>
      </c>
      <c r="D10" s="8">
        <f>SUM($B$6:B10)</f>
        <v/>
      </c>
      <c r="E10" s="8">
        <f>SUM($C$6:C10)</f>
        <v/>
      </c>
      <c r="F10" s="13">
        <f>IF(C10="","",C10-B10)</f>
        <v/>
      </c>
      <c r="G10" s="9" t="n">
        <v>0</v>
      </c>
      <c r="H10" s="13">
        <f>SUM($G$6:G10)-E10</f>
        <v/>
      </c>
      <c r="I10" s="8">
        <f>SUM(B11:B13)</f>
        <v/>
      </c>
      <c r="J10" s="3">
        <f>IF(H10&lt;I10,"Request now","Covered")</f>
        <v/>
      </c>
    </row>
    <row r="11">
      <c r="A11" s="4" t="inlineStr">
        <is>
          <t>2026-06</t>
        </is>
      </c>
      <c r="B11" s="9" t="n">
        <v>45000</v>
      </c>
      <c r="C11" s="9" t="n">
        <v>43200</v>
      </c>
      <c r="D11" s="8">
        <f>SUM($B$6:B11)</f>
        <v/>
      </c>
      <c r="E11" s="8">
        <f>SUM($C$6:C11)</f>
        <v/>
      </c>
      <c r="F11" s="13">
        <f>IF(C11="","",C11-B11)</f>
        <v/>
      </c>
      <c r="G11" s="9" t="n">
        <v>0</v>
      </c>
      <c r="H11" s="13">
        <f>SUM($G$6:G11)-E11</f>
        <v/>
      </c>
      <c r="I11" s="8">
        <f>SUM(B12:B14)</f>
        <v/>
      </c>
      <c r="J11" s="3">
        <f>IF(H11&lt;I11,"Request now","Covered")</f>
        <v/>
      </c>
    </row>
    <row r="12">
      <c r="A12" s="4" t="inlineStr">
        <is>
          <t>2026-07</t>
        </is>
      </c>
      <c r="B12" s="9" t="n">
        <v>45000</v>
      </c>
      <c r="C12" s="9" t="n">
        <v>41800</v>
      </c>
      <c r="D12" s="8">
        <f>SUM($B$6:B12)</f>
        <v/>
      </c>
      <c r="E12" s="8">
        <f>SUM($C$6:C12)</f>
        <v/>
      </c>
      <c r="F12" s="13">
        <f>IF(C12="","",C12-B12)</f>
        <v/>
      </c>
      <c r="G12" s="9" t="n">
        <v>100000</v>
      </c>
      <c r="H12" s="13">
        <f>SUM($G$6:G12)-E12</f>
        <v/>
      </c>
      <c r="I12" s="8">
        <f>SUM(B13:B15)</f>
        <v/>
      </c>
      <c r="J12" s="3">
        <f>IF(H12&lt;I12,"Request now","Covered")</f>
        <v/>
      </c>
    </row>
    <row r="13">
      <c r="A13" s="4" t="inlineStr">
        <is>
          <t>2026-08</t>
        </is>
      </c>
      <c r="B13" s="9" t="n">
        <v>45000</v>
      </c>
      <c r="C13" s="9" t="n">
        <v>44300</v>
      </c>
      <c r="D13" s="8">
        <f>SUM($B$6:B13)</f>
        <v/>
      </c>
      <c r="E13" s="8">
        <f>SUM($C$6:C13)</f>
        <v/>
      </c>
      <c r="F13" s="13">
        <f>IF(C13="","",C13-B13)</f>
        <v/>
      </c>
      <c r="G13" s="9" t="n">
        <v>0</v>
      </c>
      <c r="H13" s="13">
        <f>SUM($G$6:G13)-E13</f>
        <v/>
      </c>
      <c r="I13" s="8">
        <f>SUM(B14:B16)</f>
        <v/>
      </c>
      <c r="J13" s="3">
        <f>IF(H13&lt;I13,"Request now","Covered")</f>
        <v/>
      </c>
    </row>
    <row r="14">
      <c r="A14" s="4" t="inlineStr">
        <is>
          <t>2026-09</t>
        </is>
      </c>
      <c r="B14" s="9" t="n">
        <v>45000</v>
      </c>
      <c r="C14" s="9" t="n"/>
      <c r="D14" s="8">
        <f>SUM($B$6:B14)</f>
        <v/>
      </c>
      <c r="E14" s="8">
        <f>SUM($C$6:C14)</f>
        <v/>
      </c>
      <c r="F14" s="13">
        <f>IF(C14="","",C14-B14)</f>
        <v/>
      </c>
      <c r="G14" s="9" t="n">
        <v>0</v>
      </c>
      <c r="H14" s="13">
        <f>SUM($G$6:G14)-E14</f>
        <v/>
      </c>
      <c r="I14" s="8">
        <f>SUM(B15:B17)</f>
        <v/>
      </c>
      <c r="J14" s="3">
        <f>IF(H14&lt;I14,"Request now","Covered")</f>
        <v/>
      </c>
    </row>
    <row r="15">
      <c r="A15" s="4" t="inlineStr">
        <is>
          <t>2026-10</t>
        </is>
      </c>
      <c r="B15" s="9" t="n">
        <v>40000</v>
      </c>
      <c r="C15" s="9" t="n"/>
      <c r="D15" s="8">
        <f>SUM($B$6:B15)</f>
        <v/>
      </c>
      <c r="E15" s="8">
        <f>SUM($C$6:C15)</f>
        <v/>
      </c>
      <c r="F15" s="13">
        <f>IF(C15="","",C15-B15)</f>
        <v/>
      </c>
      <c r="G15" s="9" t="n">
        <v>0</v>
      </c>
      <c r="H15" s="13">
        <f>SUM($G$6:G15)-E15</f>
        <v/>
      </c>
      <c r="I15" s="8">
        <f>SUM(B16:B17)</f>
        <v/>
      </c>
      <c r="J15" s="3">
        <f>IF(H15&lt;I15,"Request now","Covered")</f>
        <v/>
      </c>
    </row>
    <row r="16">
      <c r="A16" s="4" t="inlineStr">
        <is>
          <t>2026-11</t>
        </is>
      </c>
      <c r="B16" s="9" t="n">
        <v>25000</v>
      </c>
      <c r="C16" s="9" t="n"/>
      <c r="D16" s="8">
        <f>SUM($B$6:B16)</f>
        <v/>
      </c>
      <c r="E16" s="8">
        <f>SUM($C$6:C16)</f>
        <v/>
      </c>
      <c r="F16" s="13">
        <f>IF(C16="","",C16-B16)</f>
        <v/>
      </c>
      <c r="G16" s="9" t="n">
        <v>0</v>
      </c>
      <c r="H16" s="13">
        <f>SUM($G$6:G16)-E16</f>
        <v/>
      </c>
      <c r="I16" s="8">
        <f>SUM(B17:B17)</f>
        <v/>
      </c>
      <c r="J16" s="3">
        <f>IF(H16&lt;I16,"Request now","Covered")</f>
        <v/>
      </c>
    </row>
    <row r="17">
      <c r="A17" s="4" t="inlineStr">
        <is>
          <t>2026-12</t>
        </is>
      </c>
      <c r="B17" s="9" t="n">
        <v>10400</v>
      </c>
      <c r="C17" s="9" t="n"/>
      <c r="D17" s="8">
        <f>SUM($B$6:B17)</f>
        <v/>
      </c>
      <c r="E17" s="8">
        <f>SUM($C$6:C17)</f>
        <v/>
      </c>
      <c r="F17" s="13">
        <f>IF(C17="","",C17-B17)</f>
        <v/>
      </c>
      <c r="G17" s="9" t="n">
        <v>0</v>
      </c>
      <c r="H17" s="13">
        <f>SUM($G$6:G17)-E17</f>
        <v/>
      </c>
      <c r="I17" s="8">
        <f>SUM(B18:B17)</f>
        <v/>
      </c>
      <c r="J17" s="3">
        <f>IF(H17&lt;I17,"Request now","Covered")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6" customWidth="1" min="3" max="3"/>
    <col width="30" customWidth="1" min="4" max="4"/>
  </cols>
  <sheetData>
    <row r="1">
      <c r="A1" s="1" t="inlineStr">
        <is>
          <t>Donor rules and ineligible costs for this grant (fill on award day)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6" t="inlineStr">
        <is>
          <t>Topic</t>
        </is>
      </c>
      <c r="B5" s="6" t="inlineStr">
        <is>
          <t>Rule per agreement</t>
        </is>
      </c>
      <c r="C5" s="6" t="inlineStr">
        <is>
          <t>Agreement clause</t>
        </is>
      </c>
      <c r="D5" s="6" t="inlineStr">
        <is>
          <t>Note</t>
        </is>
      </c>
    </row>
    <row r="6">
      <c r="A6" s="3" t="inlineStr">
        <is>
          <t>Budget flexibility between lines</t>
        </is>
      </c>
      <c r="B6" s="4" t="inlineStr">
        <is>
          <t>10% of line without prior approval; above needs written amendment</t>
        </is>
      </c>
      <c r="C6" s="4" t="inlineStr"/>
      <c r="D6" s="4" t="inlineStr"/>
    </row>
    <row r="7">
      <c r="A7" s="3" t="inlineStr">
        <is>
          <t>Reporting frequency</t>
        </is>
      </c>
      <c r="B7" s="4" t="inlineStr">
        <is>
          <t>Quarterly financial and narrative, 30 days after quarter end</t>
        </is>
      </c>
      <c r="C7" s="4" t="inlineStr"/>
      <c r="D7" s="4" t="inlineStr"/>
    </row>
    <row r="8">
      <c r="A8" s="3" t="inlineStr">
        <is>
          <t>Ineligible costs</t>
        </is>
      </c>
      <c r="B8" s="4" t="inlineStr">
        <is>
          <t>VAT where recoverable, fines, alcohol, gifts, costs outside project period, unapproved international travel</t>
        </is>
      </c>
      <c r="C8" s="4" t="inlineStr"/>
      <c r="D8" s="4" t="inlineStr"/>
    </row>
    <row r="9">
      <c r="A9" s="3" t="inlineStr">
        <is>
          <t>Procurement thresholds</t>
        </is>
      </c>
      <c r="B9" s="4" t="inlineStr">
        <is>
          <t>Follow SOC policy or donor's, whichever is stricter</t>
        </is>
      </c>
      <c r="C9" s="4" t="inlineStr"/>
      <c r="D9" s="4" t="inlineStr"/>
    </row>
    <row r="10">
      <c r="A10" s="3" t="inlineStr">
        <is>
          <t>Audit rights and retention</t>
        </is>
      </c>
      <c r="B10" s="4" t="inlineStr">
        <is>
          <t>7 years from final report</t>
        </is>
      </c>
      <c r="C10" s="4" t="inlineStr"/>
      <c r="D10" s="4" t="inlineStr"/>
    </row>
    <row r="11">
      <c r="A11" s="3" t="inlineStr">
        <is>
          <t>Asset disposal</t>
        </is>
      </c>
      <c r="B11" s="4" t="inlineStr">
        <is>
          <t>Donor approval before transfer or sale of assets above USD 500</t>
        </is>
      </c>
      <c r="C11" s="4" t="inlineStr"/>
      <c r="D11" s="4" t="inlineStr"/>
    </row>
    <row r="12">
      <c r="A12" s="3" t="inlineStr">
        <is>
          <t>Exchange rate</t>
        </is>
      </c>
      <c r="B12" s="4" t="inlineStr">
        <is>
          <t>Rate on date of transaction, source recorded</t>
        </is>
      </c>
      <c r="C12" s="4" t="inlineStr"/>
      <c r="D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2026-09-08T17:30:22Z</dcterms:created>
  <dcterms:modified xmlns:dcterms="http://purl.org/dc/terms/" xmlns:xsi="http://www.w3.org/2001/XMLSchema-instance" xsi:type="dcterms:W3CDTF">2026-09-08T17:30:22Z</dcterms:modified>
</cp:coreProperties>
</file>