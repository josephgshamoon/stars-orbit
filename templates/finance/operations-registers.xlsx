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Procurement" sheetId="2" state="visible" r:id="rId2"/>
    <sheet xmlns:r="http://schemas.openxmlformats.org/officeDocument/2006/relationships" name="Travel" sheetId="3" state="visible" r:id="rId3"/>
    <sheet xmlns:r="http://schemas.openxmlformats.org/officeDocument/2006/relationships" name="Reports due" sheetId="4" state="visible" r:id="rId4"/>
    <sheet xmlns:r="http://schemas.openxmlformats.org/officeDocument/2006/relationships" name="As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3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Operations Registers</t>
        </is>
      </c>
    </row>
    <row r="2">
      <c r="A2" s="2" t="inlineStr">
        <is>
          <t>One workbook, one owner per sheet. Feeds the dashboard. 'Days to end' uses the As-of date in B5.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>
      <c r="A5" s="3" t="inlineStr">
        <is>
          <t>As of</t>
        </is>
      </c>
      <c r="B5" s="4" t="inlineStr">
        <is>
          <t>2026-09-08</t>
        </is>
      </c>
    </row>
    <row r="7" ht="32" customHeight="1">
      <c r="A7" s="5" t="inlineStr">
        <is>
          <t>Contract ID</t>
        </is>
      </c>
      <c r="B7" s="5" t="inlineStr">
        <is>
          <t>Type (Employment / Consultant / Supplier / Venue / Donor)</t>
        </is>
      </c>
      <c r="C7" s="5" t="inlineStr">
        <is>
          <t>Party</t>
        </is>
      </c>
      <c r="D7" s="5" t="inlineStr">
        <is>
          <t>Project</t>
        </is>
      </c>
      <c r="E7" s="5" t="inlineStr">
        <is>
          <t>Value (USD)</t>
        </is>
      </c>
      <c r="F7" s="5" t="inlineStr">
        <is>
          <t>Start</t>
        </is>
      </c>
      <c r="G7" s="5" t="inlineStr">
        <is>
          <t>End</t>
        </is>
      </c>
      <c r="H7" s="5" t="inlineStr">
        <is>
          <t>Notice days</t>
        </is>
      </c>
      <c r="I7" s="5" t="inlineStr">
        <is>
          <t>Renewal count</t>
        </is>
      </c>
      <c r="J7" s="5" t="inlineStr">
        <is>
          <t>Signatory</t>
        </is>
      </c>
      <c r="K7" s="5" t="inlineStr">
        <is>
          <t>Days to end</t>
        </is>
      </c>
      <c r="L7" s="5" t="inlineStr">
        <is>
          <t>Alert</t>
        </is>
      </c>
      <c r="M7" s="5" t="inlineStr">
        <is>
          <t>File link</t>
        </is>
      </c>
    </row>
    <row r="8">
      <c r="A8" s="4" t="inlineStr">
        <is>
          <t>CT-2026-031</t>
        </is>
      </c>
      <c r="B8" s="4" t="inlineStr">
        <is>
          <t>Employment</t>
        </is>
      </c>
      <c r="C8" s="4" t="inlineStr">
        <is>
          <t>Example Name A</t>
        </is>
      </c>
      <c r="D8" s="4" t="inlineStr">
        <is>
          <t>UNHCR-PPA-2026</t>
        </is>
      </c>
      <c r="E8" s="6" t="n">
        <v>21600</v>
      </c>
      <c r="F8" s="4" t="inlineStr">
        <is>
          <t>2026-02-01</t>
        </is>
      </c>
      <c r="G8" s="4" t="inlineStr">
        <is>
          <t>2027-01-31</t>
        </is>
      </c>
      <c r="H8" s="4" t="n">
        <v>30</v>
      </c>
      <c r="I8" s="4" t="n">
        <v>0</v>
      </c>
      <c r="J8" s="4" t="inlineStr">
        <is>
          <t>OD</t>
        </is>
      </c>
      <c r="K8" s="3">
        <f>DATEVALUE(G8)-DATEVALUE($B$5)</f>
        <v/>
      </c>
      <c r="L8" s="3">
        <f>IF(K8&lt;0,"Expired",IF(K8&lt;=45,"Renew/close","OK"))</f>
        <v/>
      </c>
      <c r="M8" s="4" t="inlineStr"/>
    </row>
    <row r="9">
      <c r="A9" s="4" t="inlineStr">
        <is>
          <t>CT-2026-047</t>
        </is>
      </c>
      <c r="B9" s="4" t="inlineStr">
        <is>
          <t>Employment</t>
        </is>
      </c>
      <c r="C9" s="4" t="inlineStr">
        <is>
          <t>Example Name B</t>
        </is>
      </c>
      <c r="D9" s="4" t="inlineStr">
        <is>
          <t>UNHCR-PPA-2026</t>
        </is>
      </c>
      <c r="E9" s="6" t="n">
        <v>4400</v>
      </c>
      <c r="F9" s="4" t="inlineStr">
        <is>
          <t>2026-06-01</t>
        </is>
      </c>
      <c r="G9" s="4" t="inlineStr">
        <is>
          <t>2026-09-30</t>
        </is>
      </c>
      <c r="H9" s="4" t="n">
        <v>15</v>
      </c>
      <c r="I9" s="4" t="n">
        <v>3</v>
      </c>
      <c r="J9" s="4" t="inlineStr">
        <is>
          <t>OD</t>
        </is>
      </c>
      <c r="K9" s="3">
        <f>DATEVALUE(G9)-DATEVALUE($B$5)</f>
        <v/>
      </c>
      <c r="L9" s="3">
        <f>IF(K9&lt;0,"Expired",IF(K9&lt;=45,"Renew/close","OK"))</f>
        <v/>
      </c>
      <c r="M9" s="4" t="inlineStr"/>
    </row>
    <row r="10">
      <c r="A10" s="4" t="inlineStr">
        <is>
          <t>CT-2026-052</t>
        </is>
      </c>
      <c r="B10" s="4" t="inlineStr">
        <is>
          <t>Supplier</t>
        </is>
      </c>
      <c r="C10" s="4" t="inlineStr">
        <is>
          <t>Cash delivery agent X</t>
        </is>
      </c>
      <c r="D10" s="4" t="inlineStr">
        <is>
          <t>UNHCR-PPA-2026</t>
        </is>
      </c>
      <c r="E10" s="6" t="n">
        <v>2400</v>
      </c>
      <c r="F10" s="4" t="inlineStr">
        <is>
          <t>2026-03-01</t>
        </is>
      </c>
      <c r="G10" s="4" t="inlineStr">
        <is>
          <t>2026-12-31</t>
        </is>
      </c>
      <c r="H10" s="4" t="n">
        <v>30</v>
      </c>
      <c r="I10" s="4" t="n">
        <v>0</v>
      </c>
      <c r="J10" s="4" t="inlineStr">
        <is>
          <t>ED</t>
        </is>
      </c>
      <c r="K10" s="3">
        <f>DATEVALUE(G10)-DATEVALUE($B$5)</f>
        <v/>
      </c>
      <c r="L10" s="3">
        <f>IF(K10&lt;0,"Expired",IF(K10&lt;=45,"Renew/close","OK"))</f>
        <v/>
      </c>
      <c r="M10" s="4" t="inlineStr"/>
    </row>
    <row r="11">
      <c r="A11" s="4" t="inlineStr">
        <is>
          <t>CT-2026-060</t>
        </is>
      </c>
      <c r="B11" s="4" t="inlineStr">
        <is>
          <t>Donor</t>
        </is>
      </c>
      <c r="C11" s="4" t="inlineStr">
        <is>
          <t>UNICEF PCA</t>
        </is>
      </c>
      <c r="D11" s="4" t="inlineStr">
        <is>
          <t>UNICEF-PCA-2026</t>
        </is>
      </c>
      <c r="E11" s="6" t="n">
        <v>180000</v>
      </c>
      <c r="F11" s="4" t="inlineStr">
        <is>
          <t>2026-04-01</t>
        </is>
      </c>
      <c r="G11" s="4" t="inlineStr">
        <is>
          <t>2027-03-31</t>
        </is>
      </c>
      <c r="H11" s="4" t="n">
        <v>60</v>
      </c>
      <c r="I11" s="4" t="n">
        <v>0</v>
      </c>
      <c r="J11" s="4" t="inlineStr">
        <is>
          <t>ED</t>
        </is>
      </c>
      <c r="K11" s="3">
        <f>DATEVALUE(G11)-DATEVALUE($B$5)</f>
        <v/>
      </c>
      <c r="L11" s="3">
        <f>IF(K11&lt;0,"Expired",IF(K11&lt;=45,"Renew/close","OK"))</f>
        <v/>
      </c>
      <c r="M1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12" customWidth="1" min="5" max="5"/>
    <col width="22" customWidth="1" min="6" max="6"/>
    <col width="8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Procurement register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PR ID</t>
        </is>
      </c>
      <c r="B5" s="5" t="inlineStr">
        <is>
          <t>Date</t>
        </is>
      </c>
      <c r="C5" s="5" t="inlineStr">
        <is>
          <t>Project</t>
        </is>
      </c>
      <c r="D5" s="5" t="inlineStr">
        <is>
          <t>Description</t>
        </is>
      </c>
      <c r="E5" s="5" t="inlineStr">
        <is>
          <t>Est. value (USD)</t>
        </is>
      </c>
      <c r="F5" s="5" t="inlineStr">
        <is>
          <t>Route</t>
        </is>
      </c>
      <c r="G5" s="5" t="inlineStr">
        <is>
          <t>Quotes received</t>
        </is>
      </c>
      <c r="H5" s="5" t="inlineStr">
        <is>
          <t>Supplier</t>
        </is>
      </c>
      <c r="I5" s="5" t="inlineStr">
        <is>
          <t>PO number</t>
        </is>
      </c>
      <c r="J5" s="5" t="inlineStr">
        <is>
          <t>PO date</t>
        </is>
      </c>
      <c r="K5" s="5" t="inlineStr">
        <is>
          <t>GRN date</t>
        </is>
      </c>
      <c r="L5" s="5" t="inlineStr">
        <is>
          <t>Invoice paid date</t>
        </is>
      </c>
      <c r="M5" s="5" t="inlineStr">
        <is>
          <t>Status</t>
        </is>
      </c>
      <c r="N5" s="5" t="inlineStr">
        <is>
          <t>Days open</t>
        </is>
      </c>
    </row>
    <row r="6">
      <c r="A6" s="4" t="inlineStr">
        <is>
          <t>PR-2026-088</t>
        </is>
      </c>
      <c r="B6" s="4" t="inlineStr">
        <is>
          <t>2026-08-12</t>
        </is>
      </c>
      <c r="C6" s="4" t="inlineStr">
        <is>
          <t>UNICEF-PCA-2026</t>
        </is>
      </c>
      <c r="D6" s="4" t="inlineStr">
        <is>
          <t>Training kits x35</t>
        </is>
      </c>
      <c r="E6" s="6" t="n">
        <v>350</v>
      </c>
      <c r="F6" s="3">
        <f>IF(E6&lt;1000,"1 quote",IF(E6&lt;=5000,"3 quotes",IF(E6&lt;=25000,"RFQ + committee","Tender + ED")))</f>
        <v/>
      </c>
      <c r="G6" s="4" t="n">
        <v>1</v>
      </c>
      <c r="H6" s="4" t="inlineStr">
        <is>
          <t>Stationery Co</t>
        </is>
      </c>
      <c r="I6" s="4" t="inlineStr">
        <is>
          <t>PO-2026-071</t>
        </is>
      </c>
      <c r="J6" s="4" t="inlineStr">
        <is>
          <t>2026-08-14</t>
        </is>
      </c>
      <c r="K6" s="4" t="inlineStr">
        <is>
          <t>2026-08-20</t>
        </is>
      </c>
      <c r="L6" s="4" t="inlineStr">
        <is>
          <t>2026-08-28</t>
        </is>
      </c>
      <c r="M6" s="4" t="inlineStr">
        <is>
          <t>Closed</t>
        </is>
      </c>
      <c r="N6" s="3">
        <f>IF(M6="Closed",DATEVALUE(L6)-DATEVALUE(B6),DATEVALUE(Contracts!$B$5)-DATEVALUE(B6))</f>
        <v/>
      </c>
    </row>
    <row r="7">
      <c r="A7" s="4" t="inlineStr">
        <is>
          <t>PR-2026-091</t>
        </is>
      </c>
      <c r="B7" s="4" t="inlineStr">
        <is>
          <t>2026-08-25</t>
        </is>
      </c>
      <c r="C7" s="4" t="inlineStr">
        <is>
          <t>UNHCR-PPA-2026</t>
        </is>
      </c>
      <c r="D7" s="4" t="inlineStr">
        <is>
          <t>Vehicle hire Sep-Dec</t>
        </is>
      </c>
      <c r="E7" s="6" t="n">
        <v>3600</v>
      </c>
      <c r="F7" s="3">
        <f>IF(E7&lt;1000,"1 quote",IF(E7&lt;=5000,"3 quotes",IF(E7&lt;=25000,"RFQ + committee","Tender + ED")))</f>
        <v/>
      </c>
      <c r="G7" s="4" t="n">
        <v>3</v>
      </c>
      <c r="H7" s="4" t="inlineStr">
        <is>
          <t>Transport Ltd</t>
        </is>
      </c>
      <c r="I7" s="4" t="inlineStr">
        <is>
          <t>PO-2026-074</t>
        </is>
      </c>
      <c r="J7" s="4" t="inlineStr">
        <is>
          <t>2026-09-01</t>
        </is>
      </c>
      <c r="K7" s="4" t="inlineStr"/>
      <c r="L7" s="4" t="inlineStr"/>
      <c r="M7" s="4" t="inlineStr">
        <is>
          <t>Open</t>
        </is>
      </c>
      <c r="N7" s="3">
        <f>IF(M7="Closed",DATEVALUE(L7)-DATEVALUE(B7),DATEVALUE(Contracts!$B$5)-DATEVALUE(B7))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24" customWidth="1" min="5" max="5"/>
    <col width="12" customWidth="1" min="6" max="6"/>
    <col width="12" customWidth="1" min="7" max="7"/>
    <col width="12" customWidth="1" min="8" max="8"/>
    <col width="8" customWidth="1" min="9" max="9"/>
    <col width="14" customWidth="1" min="10" max="10"/>
    <col width="14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</cols>
  <sheetData>
    <row r="1">
      <c r="A1" s="1" t="inlineStr">
        <is>
          <t>Travel and embassy register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Trip ID</t>
        </is>
      </c>
      <c r="B5" s="5" t="inlineStr">
        <is>
          <t>Traveller</t>
        </is>
      </c>
      <c r="C5" s="5" t="inlineStr">
        <is>
          <t>Project</t>
        </is>
      </c>
      <c r="D5" s="5" t="inlineStr">
        <is>
          <t>Destination</t>
        </is>
      </c>
      <c r="E5" s="5" t="inlineStr">
        <is>
          <t>Purpose</t>
        </is>
      </c>
      <c r="F5" s="5" t="inlineStr">
        <is>
          <t>Depart</t>
        </is>
      </c>
      <c r="G5" s="5" t="inlineStr">
        <is>
          <t>Return</t>
        </is>
      </c>
      <c r="H5" s="5" t="inlineStr">
        <is>
          <t>Authorised by</t>
        </is>
      </c>
      <c r="I5" s="5" t="inlineStr">
        <is>
          <t>Visa required</t>
        </is>
      </c>
      <c r="J5" s="5" t="inlineStr">
        <is>
          <t>Embassy appointment</t>
        </is>
      </c>
      <c r="K5" s="5" t="inlineStr">
        <is>
          <t>Visa status</t>
        </is>
      </c>
      <c r="L5" s="5" t="inlineStr">
        <is>
          <t>Passport custody receipt</t>
        </is>
      </c>
      <c r="M5" s="5" t="inlineStr">
        <is>
          <t>Advance (USD)</t>
        </is>
      </c>
      <c r="N5" s="5" t="inlineStr">
        <is>
          <t>Settlement date</t>
        </is>
      </c>
      <c r="O5" s="5" t="inlineStr">
        <is>
          <t>Days to settle</t>
        </is>
      </c>
      <c r="P5" s="5" t="inlineStr">
        <is>
          <t>Alert</t>
        </is>
      </c>
    </row>
    <row r="6">
      <c r="A6" s="4" t="inlineStr">
        <is>
          <t>TR-2026-019</t>
        </is>
      </c>
      <c r="B6" s="4" t="inlineStr">
        <is>
          <t>Example Name A</t>
        </is>
      </c>
      <c r="C6" s="4" t="inlineStr">
        <is>
          <t>UNHCR-PPA-2026</t>
        </is>
      </c>
      <c r="D6" s="4" t="inlineStr">
        <is>
          <t>Amman</t>
        </is>
      </c>
      <c r="E6" s="4" t="inlineStr">
        <is>
          <t>Donor workshop</t>
        </is>
      </c>
      <c r="F6" s="4" t="inlineStr">
        <is>
          <t>2026-09-20</t>
        </is>
      </c>
      <c r="G6" s="4" t="inlineStr">
        <is>
          <t>2026-09-24</t>
        </is>
      </c>
      <c r="H6" s="4" t="inlineStr">
        <is>
          <t>OD</t>
        </is>
      </c>
      <c r="I6" s="4" t="inlineStr">
        <is>
          <t>Y</t>
        </is>
      </c>
      <c r="J6" s="4" t="inlineStr">
        <is>
          <t>2026-09-02</t>
        </is>
      </c>
      <c r="K6" s="4" t="inlineStr">
        <is>
          <t>Issued</t>
        </is>
      </c>
      <c r="L6" s="4" t="inlineStr">
        <is>
          <t>PC-014</t>
        </is>
      </c>
      <c r="M6" s="6" t="n">
        <v>450</v>
      </c>
      <c r="N6" s="4" t="inlineStr"/>
      <c r="O6" s="3">
        <f>IF(N6="",DATEVALUE(Contracts!$B$5)-DATEVALUE(G6),DATEVALUE(N6)-DATEVALUE(G6))</f>
        <v/>
      </c>
      <c r="P6" s="3">
        <f>IF(N6="",IF(O6&gt;10,"Advance overdue","Open"),"Settled")</f>
        <v/>
      </c>
    </row>
    <row r="7">
      <c r="A7" s="4" t="inlineStr">
        <is>
          <t>TR-2026-015</t>
        </is>
      </c>
      <c r="B7" s="4" t="inlineStr">
        <is>
          <t>Example Name B</t>
        </is>
      </c>
      <c r="C7" s="4" t="inlineStr">
        <is>
          <t>UNHCR-PPA-2026</t>
        </is>
      </c>
      <c r="D7" s="4" t="inlineStr">
        <is>
          <t>Sinjar</t>
        </is>
      </c>
      <c r="E7" s="4" t="inlineStr">
        <is>
          <t>PDM round 2</t>
        </is>
      </c>
      <c r="F7" s="4" t="inlineStr">
        <is>
          <t>2026-08-30</t>
        </is>
      </c>
      <c r="G7" s="4" t="inlineStr">
        <is>
          <t>2026-09-02</t>
        </is>
      </c>
      <c r="H7" s="4" t="inlineStr">
        <is>
          <t>PM</t>
        </is>
      </c>
      <c r="I7" s="4" t="inlineStr">
        <is>
          <t>N</t>
        </is>
      </c>
      <c r="J7" s="4" t="inlineStr"/>
      <c r="K7" s="4" t="inlineStr">
        <is>
          <t>n/a</t>
        </is>
      </c>
      <c r="L7" s="4" t="inlineStr"/>
      <c r="M7" s="6" t="n">
        <v>120</v>
      </c>
      <c r="N7" s="4" t="inlineStr"/>
      <c r="O7" s="3">
        <f>IF(N7="",DATEVALUE(Contracts!$B$5)-DATEVALUE(G7),DATEVALUE(N7)-DATEVALUE(G7))</f>
        <v/>
      </c>
      <c r="P7" s="3">
        <f>IF(N7="",IF(O7&gt;10,"Advance overdue","Open"),"Settled")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Donor reporting calendar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Project</t>
        </is>
      </c>
      <c r="B5" s="5" t="inlineStr">
        <is>
          <t>Report</t>
        </is>
      </c>
      <c r="C5" s="5" t="inlineStr">
        <is>
          <t>Donor due</t>
        </is>
      </c>
      <c r="D5" s="5" t="inlineStr">
        <is>
          <t>Internal due (5 wd before)</t>
        </is>
      </c>
      <c r="E5" s="5" t="inlineStr">
        <is>
          <t>Owner</t>
        </is>
      </c>
      <c r="F5" s="5" t="inlineStr">
        <is>
          <t>Status</t>
        </is>
      </c>
      <c r="G5" s="5" t="inlineStr">
        <is>
          <t>Days to donor due</t>
        </is>
      </c>
      <c r="H5" s="5" t="inlineStr">
        <is>
          <t>Alert</t>
        </is>
      </c>
    </row>
    <row r="6">
      <c r="A6" s="4" t="inlineStr">
        <is>
          <t>UNHCR-PPA-2026</t>
        </is>
      </c>
      <c r="B6" s="4" t="inlineStr">
        <is>
          <t>Q3 narrative and financial</t>
        </is>
      </c>
      <c r="C6" s="4" t="inlineStr">
        <is>
          <t>2026-10-30</t>
        </is>
      </c>
      <c r="D6" s="4" t="inlineStr">
        <is>
          <t>2026-10-23</t>
        </is>
      </c>
      <c r="E6" s="4" t="inlineStr">
        <is>
          <t>PM / FM</t>
        </is>
      </c>
      <c r="F6" s="4" t="inlineStr">
        <is>
          <t>Not started</t>
        </is>
      </c>
      <c r="G6" s="3">
        <f>DATEVALUE(C6)-DATEVALUE(Contracts!$B$5)</f>
        <v/>
      </c>
      <c r="H6" s="3">
        <f>IF(F6="Submitted","Done",IF(G6&lt;=10,"Due soon","OK"))</f>
        <v/>
      </c>
    </row>
    <row r="7">
      <c r="A7" s="4" t="inlineStr">
        <is>
          <t>UNICEF-PCA-2026</t>
        </is>
      </c>
      <c r="B7" s="4" t="inlineStr">
        <is>
          <t>Semi-annual progress</t>
        </is>
      </c>
      <c r="C7" s="4" t="inlineStr">
        <is>
          <t>2026-10-15</t>
        </is>
      </c>
      <c r="D7" s="4" t="inlineStr">
        <is>
          <t>2026-10-08</t>
        </is>
      </c>
      <c r="E7" s="4" t="inlineStr">
        <is>
          <t>PM</t>
        </is>
      </c>
      <c r="F7" s="4" t="inlineStr">
        <is>
          <t>Drafting</t>
        </is>
      </c>
      <c r="G7" s="3">
        <f>DATEVALUE(C7)-DATEVALUE(Contracts!$B$5)</f>
        <v/>
      </c>
      <c r="H7" s="3">
        <f>IF(F7="Submitted","Done",IF(G7&lt;=10,"Due soon","OK"))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0" customWidth="1" min="5" max="5"/>
    <col width="12" customWidth="1" min="6" max="6"/>
    <col width="16" customWidth="1" min="7" max="7"/>
    <col width="10" customWidth="1" min="8" max="8"/>
    <col width="12" customWidth="1" min="9" max="9"/>
    <col width="16" customWidth="1" min="10" max="10"/>
  </cols>
  <sheetData>
    <row r="1">
      <c r="A1" s="1" t="inlineStr">
        <is>
          <t>Asset register (assets above USD 500)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Asset tag</t>
        </is>
      </c>
      <c r="B5" s="5" t="inlineStr">
        <is>
          <t>Description</t>
        </is>
      </c>
      <c r="C5" s="5" t="inlineStr">
        <is>
          <t>Project / donor</t>
        </is>
      </c>
      <c r="D5" s="5" t="inlineStr">
        <is>
          <t>Purchase date</t>
        </is>
      </c>
      <c r="E5" s="5" t="inlineStr">
        <is>
          <t>Cost (USD)</t>
        </is>
      </c>
      <c r="F5" s="5" t="inlineStr">
        <is>
          <t>Location</t>
        </is>
      </c>
      <c r="G5" s="5" t="inlineStr">
        <is>
          <t>Custodian</t>
        </is>
      </c>
      <c r="H5" s="5" t="inlineStr">
        <is>
          <t>Condition</t>
        </is>
      </c>
      <c r="I5" s="5" t="inlineStr">
        <is>
          <t>Last verified</t>
        </is>
      </c>
      <c r="J5" s="5" t="inlineStr">
        <is>
          <t>Disposal approval</t>
        </is>
      </c>
    </row>
    <row r="6">
      <c r="A6" s="4" t="inlineStr">
        <is>
          <t>SOC-IQ-0041</t>
        </is>
      </c>
      <c r="B6" s="4" t="inlineStr">
        <is>
          <t>Laptop 14in</t>
        </is>
      </c>
      <c r="C6" s="4" t="inlineStr">
        <is>
          <t>UNHCR-PPA-2026</t>
        </is>
      </c>
      <c r="D6" s="4" t="inlineStr">
        <is>
          <t>2026-02-03</t>
        </is>
      </c>
      <c r="E6" s="6" t="n">
        <v>820</v>
      </c>
      <c r="F6" s="4" t="inlineStr">
        <is>
          <t>Erbil</t>
        </is>
      </c>
      <c r="G6" s="4" t="inlineStr">
        <is>
          <t>S-001</t>
        </is>
      </c>
      <c r="H6" s="4" t="inlineStr">
        <is>
          <t>Good</t>
        </is>
      </c>
      <c r="I6" s="4" t="inlineStr">
        <is>
          <t>2026-06-30</t>
        </is>
      </c>
      <c r="J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