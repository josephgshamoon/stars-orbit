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Descriptors" sheetId="2" state="visible" r:id="rId2"/>
    <sheet xmlns:r="http://schemas.openxmlformats.org/officeDocument/2006/relationships" name="Long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9" fontId="4" fillId="2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Candidate Evaluation Rubric</t>
        </is>
      </c>
    </row>
    <row r="2">
      <c r="A2" s="2" t="inlineStr">
        <is>
          <t>Score 1-5 per criterion using the descriptors on the Descriptors sheet. Weighted total is calculated. Minimum 2 panellists.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>
      <c r="A5" s="3" t="inlineStr">
        <is>
          <t>Position</t>
        </is>
      </c>
      <c r="B5" s="4" t="inlineStr">
        <is>
          <t>M&amp;E Officer, Erbil</t>
        </is>
      </c>
    </row>
    <row r="6">
      <c r="A6" s="3" t="inlineStr">
        <is>
          <t>Vacancy ref</t>
        </is>
      </c>
      <c r="B6" s="4" t="inlineStr">
        <is>
          <t>VAC-2026-014</t>
        </is>
      </c>
    </row>
    <row r="7">
      <c r="A7" s="3" t="inlineStr">
        <is>
          <t>Panel</t>
        </is>
      </c>
      <c r="B7" s="4" t="inlineStr">
        <is>
          <t>HR Officer, PM, independent panellist</t>
        </is>
      </c>
    </row>
    <row r="8">
      <c r="A8" s="3" t="inlineStr">
        <is>
          <t>Conflict of interest declared?</t>
        </is>
      </c>
      <c r="B8" s="4" t="inlineStr">
        <is>
          <t>None declared</t>
        </is>
      </c>
    </row>
    <row r="10" ht="32" customHeight="1">
      <c r="A10" s="5" t="inlineStr">
        <is>
          <t>Criterion</t>
        </is>
      </c>
      <c r="B10" s="5" t="inlineStr">
        <is>
          <t>Weight %</t>
        </is>
      </c>
      <c r="C10" s="5" t="inlineStr">
        <is>
          <t>Candidate 1 P1</t>
        </is>
      </c>
      <c r="D10" s="5" t="inlineStr">
        <is>
          <t>Candidate 1 P2</t>
        </is>
      </c>
      <c r="E10" s="5" t="inlineStr">
        <is>
          <t>Candidate 2 P1</t>
        </is>
      </c>
      <c r="F10" s="5" t="inlineStr">
        <is>
          <t>Candidate 2 P2</t>
        </is>
      </c>
      <c r="G10" s="5" t="inlineStr">
        <is>
          <t>Candidate 3 P1</t>
        </is>
      </c>
      <c r="H10" s="5" t="inlineStr">
        <is>
          <t>Candidate 3 P2</t>
        </is>
      </c>
    </row>
    <row r="11">
      <c r="A11" s="3" t="inlineStr">
        <is>
          <t>Relevant experience (years, sector, similar role)</t>
        </is>
      </c>
      <c r="B11" s="6" t="n">
        <v>0.3</v>
      </c>
      <c r="C11" s="4" t="n">
        <v>4</v>
      </c>
      <c r="D11" s="4" t="n">
        <v>3</v>
      </c>
      <c r="E11" s="4" t="n">
        <v>5</v>
      </c>
      <c r="F11" s="4" t="n">
        <v>4</v>
      </c>
      <c r="G11" s="4" t="n">
        <v>3</v>
      </c>
      <c r="H11" s="4" t="n">
        <v>3</v>
      </c>
    </row>
    <row r="12">
      <c r="A12" s="3" t="inlineStr">
        <is>
          <t>Technical skills (tools, methods, systems)</t>
        </is>
      </c>
      <c r="B12" s="6" t="n">
        <v>0.25</v>
      </c>
      <c r="C12" s="4" t="n">
        <v>3</v>
      </c>
      <c r="D12" s="4" t="n">
        <v>3</v>
      </c>
      <c r="E12" s="4" t="n">
        <v>3</v>
      </c>
      <c r="F12" s="4" t="n">
        <v>3</v>
      </c>
      <c r="G12" s="4" t="n">
        <v>3</v>
      </c>
      <c r="H12" s="4" t="n">
        <v>3</v>
      </c>
    </row>
    <row r="13">
      <c r="A13" s="3" t="inlineStr">
        <is>
          <t>Language: Arabic and English as required</t>
        </is>
      </c>
      <c r="B13" s="6" t="n">
        <v>0.15</v>
      </c>
      <c r="C13" s="4" t="n">
        <v>3</v>
      </c>
      <c r="D13" s="4" t="n">
        <v>3</v>
      </c>
      <c r="E13" s="4" t="n">
        <v>3</v>
      </c>
      <c r="F13" s="4" t="n">
        <v>3</v>
      </c>
      <c r="G13" s="4" t="n">
        <v>3</v>
      </c>
      <c r="H13" s="4" t="n">
        <v>3</v>
      </c>
    </row>
    <row r="14">
      <c r="A14" s="3" t="inlineStr">
        <is>
          <t>Context knowledge: Iraq, humanitarian principles, Do No Harm</t>
        </is>
      </c>
      <c r="B14" s="6" t="n">
        <v>0.15</v>
      </c>
      <c r="C14" s="4" t="n">
        <v>3</v>
      </c>
      <c r="D14" s="4" t="n">
        <v>3</v>
      </c>
      <c r="E14" s="4" t="n">
        <v>3</v>
      </c>
      <c r="F14" s="4" t="n">
        <v>3</v>
      </c>
      <c r="G14" s="4" t="n">
        <v>3</v>
      </c>
      <c r="H14" s="4" t="n">
        <v>3</v>
      </c>
    </row>
    <row r="15">
      <c r="A15" s="3" t="inlineStr">
        <is>
          <t>Interview and written test performance</t>
        </is>
      </c>
      <c r="B15" s="6" t="n">
        <v>0.15</v>
      </c>
      <c r="C15" s="4" t="n">
        <v>3</v>
      </c>
      <c r="D15" s="4" t="n">
        <v>3</v>
      </c>
      <c r="E15" s="4" t="n">
        <v>3</v>
      </c>
      <c r="F15" s="4" t="n">
        <v>3</v>
      </c>
      <c r="G15" s="4" t="n">
        <v>3</v>
      </c>
      <c r="H15" s="4" t="n">
        <v>3</v>
      </c>
    </row>
    <row r="16">
      <c r="A16" s="3" t="inlineStr">
        <is>
          <t>Weight check (must be 100%)</t>
        </is>
      </c>
      <c r="B16" s="7">
        <f>SUM(B11:B15)</f>
        <v/>
      </c>
    </row>
    <row r="17">
      <c r="A17" s="3" t="inlineStr">
        <is>
          <t>Weighted score per panellist (max 5)</t>
        </is>
      </c>
      <c r="C17" s="8">
        <f>SUMPRODUCT($B$11:$B$15,C11:C15)</f>
        <v/>
      </c>
      <c r="D17" s="8">
        <f>SUMPRODUCT($B$11:$B$15,D11:D15)</f>
        <v/>
      </c>
      <c r="E17" s="8">
        <f>SUMPRODUCT($B$11:$B$15,E11:E15)</f>
        <v/>
      </c>
      <c r="F17" s="8">
        <f>SUMPRODUCT($B$11:$B$15,F11:F15)</f>
        <v/>
      </c>
      <c r="G17" s="8">
        <f>SUMPRODUCT($B$11:$B$15,G11:G15)</f>
        <v/>
      </c>
      <c r="H17" s="8">
        <f>SUMPRODUCT($B$11:$B$15,H11:H15)</f>
        <v/>
      </c>
    </row>
    <row r="18">
      <c r="A18" s="3" t="inlineStr">
        <is>
          <t>Candidate average (max 5)</t>
        </is>
      </c>
      <c r="C18" s="8">
        <f>AVERAGE(C17:D17)</f>
        <v/>
      </c>
      <c r="E18" s="8">
        <f>AVERAGE(E17:F17)</f>
        <v/>
      </c>
      <c r="G18" s="8">
        <f>AVERAGE(G17:H17)</f>
        <v/>
      </c>
    </row>
    <row r="19">
      <c r="A19" s="3" t="inlineStr">
        <is>
          <t>Rank</t>
        </is>
      </c>
      <c r="C19" s="3">
        <f>RANK(C18,(C18,E18,G18))</f>
        <v/>
      </c>
      <c r="E19" s="3">
        <f>RANK(E18,(C18,E18,G18))</f>
        <v/>
      </c>
      <c r="G19" s="3">
        <f>RANK(G18,(C18,E18,G18))</f>
        <v/>
      </c>
    </row>
    <row r="20">
      <c r="A20" s="3" t="inlineStr">
        <is>
          <t>Panellist divergence flag (&gt;1.5 points)</t>
        </is>
      </c>
      <c r="C20" s="3">
        <f>IF(ABS(C17-D17)&gt;1.5,"Discuss","OK")</f>
        <v/>
      </c>
      <c r="E20" s="3">
        <f>IF(ABS(E17-F17)&gt;1.5,"Discuss","OK")</f>
        <v/>
      </c>
      <c r="G20" s="3">
        <f>IF(ABS(G17-H17)&gt;1.5,"Discuss","OK")</f>
        <v/>
      </c>
    </row>
    <row r="22">
      <c r="A22" s="3" t="inlineStr">
        <is>
          <t>Recommendation</t>
        </is>
      </c>
      <c r="B22" s="4" t="inlineStr">
        <is>
          <t>Candidate 2 recommended subject to references and sanctions screening.</t>
        </is>
      </c>
      <c r="C22" s="9" t="n"/>
      <c r="D22" s="9" t="n"/>
      <c r="E22" s="9" t="n"/>
      <c r="F22" s="9" t="n"/>
      <c r="G22" s="9" t="n"/>
      <c r="H22" s="10" t="n"/>
    </row>
    <row r="23">
      <c r="A23" s="3" t="inlineStr">
        <is>
          <t>Panel signatures and date</t>
        </is>
      </c>
      <c r="B23" s="4" t="inlineStr"/>
      <c r="C23" s="9" t="n"/>
      <c r="D23" s="9" t="n"/>
      <c r="E23" s="9" t="n"/>
      <c r="F23" s="9" t="n"/>
      <c r="G23" s="9" t="n"/>
      <c r="H23" s="10" t="n"/>
    </row>
  </sheetData>
  <mergeCells count="2">
    <mergeCell ref="B22:H22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s="1" t="inlineStr">
        <is>
          <t>Scoring descriptors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5" t="inlineStr">
        <is>
          <t>Score</t>
        </is>
      </c>
      <c r="B5" s="5" t="inlineStr">
        <is>
          <t>Descriptor</t>
        </is>
      </c>
    </row>
    <row r="6">
      <c r="A6" s="3" t="n">
        <v>1</v>
      </c>
      <c r="B6" s="3" t="inlineStr">
        <is>
          <t>Does not meet the criterion. No relevant evidence.</t>
        </is>
      </c>
    </row>
    <row r="7">
      <c r="A7" s="3" t="n">
        <v>2</v>
      </c>
      <c r="B7" s="3" t="inlineStr">
        <is>
          <t>Partially meets. Limited or indirect evidence.</t>
        </is>
      </c>
    </row>
    <row r="8">
      <c r="A8" s="3" t="n">
        <v>3</v>
      </c>
      <c r="B8" s="3" t="inlineStr">
        <is>
          <t>Meets. Clear evidence at the level required for the role.</t>
        </is>
      </c>
    </row>
    <row r="9">
      <c r="A9" s="3" t="n">
        <v>4</v>
      </c>
      <c r="B9" s="3" t="inlineStr">
        <is>
          <t>Exceeds. Strong evidence, could operate with minimal supervision.</t>
        </is>
      </c>
    </row>
    <row r="10">
      <c r="A10" s="3" t="n">
        <v>5</v>
      </c>
      <c r="B10" s="3" t="inlineStr">
        <is>
          <t>Substantially exceeds. Evidence of leading or improving practice in this area.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14" customWidth="1" min="8" max="8"/>
    <col width="30" customWidth="1" min="9" max="9"/>
  </cols>
  <sheetData>
    <row r="1">
      <c r="A1" s="1" t="inlineStr">
        <is>
          <t>CV screening longlist (essential criteria pass/fail only)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5" t="inlineStr">
        <is>
          <t>Candidate ID</t>
        </is>
      </c>
      <c r="B5" s="5" t="inlineStr">
        <is>
          <t>Application date</t>
        </is>
      </c>
      <c r="C5" s="5" t="inlineStr">
        <is>
          <t>Essential 1: degree or equivalent</t>
        </is>
      </c>
      <c r="D5" s="5" t="inlineStr">
        <is>
          <t>Essential 2: 3 years M&amp;E experience</t>
        </is>
      </c>
      <c r="E5" s="5" t="inlineStr">
        <is>
          <t>Essential 3: Arabic and English</t>
        </is>
      </c>
      <c r="F5" s="5" t="inlineStr">
        <is>
          <t>Essential 4: right to work at duty station</t>
        </is>
      </c>
      <c r="G5" s="5" t="inlineStr">
        <is>
          <t>Pass / Fail</t>
        </is>
      </c>
      <c r="H5" s="5" t="inlineStr">
        <is>
          <t>Screened by</t>
        </is>
      </c>
      <c r="I5" s="5" t="inlineStr">
        <is>
          <t>Note</t>
        </is>
      </c>
    </row>
    <row r="6">
      <c r="A6" s="4" t="inlineStr">
        <is>
          <t>C-001</t>
        </is>
      </c>
      <c r="B6" s="4" t="inlineStr">
        <is>
          <t>2026-08-20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  <c r="G6" s="3">
        <f>IF(COUNTIF(C6:F6,"Y")=4,"Pass","Fail")</f>
        <v/>
      </c>
      <c r="H6" s="4" t="inlineStr">
        <is>
          <t>HR Officer</t>
        </is>
      </c>
      <c r="I6" s="4" t="inlineStr"/>
    </row>
    <row r="7">
      <c r="A7" s="4" t="inlineStr">
        <is>
          <t>C-002</t>
        </is>
      </c>
      <c r="B7" s="4" t="inlineStr">
        <is>
          <t>2026-08-20</t>
        </is>
      </c>
      <c r="C7" s="4" t="inlineStr">
        <is>
          <t>Y</t>
        </is>
      </c>
      <c r="D7" s="4" t="inlineStr">
        <is>
          <t>N</t>
        </is>
      </c>
      <c r="E7" s="4" t="inlineStr">
        <is>
          <t>Y</t>
        </is>
      </c>
      <c r="F7" s="4" t="inlineStr">
        <is>
          <t>Y</t>
        </is>
      </c>
      <c r="G7" s="3">
        <f>IF(COUNTIF(C7:F7,"Y")=4,"Pass","Fail")</f>
        <v/>
      </c>
      <c r="H7" s="4" t="inlineStr">
        <is>
          <t>HR Officer</t>
        </is>
      </c>
      <c r="I7" s="4" t="inlineStr"/>
    </row>
    <row r="8">
      <c r="A8" s="4" t="inlineStr">
        <is>
          <t>C-003</t>
        </is>
      </c>
      <c r="B8" s="4" t="inlineStr">
        <is>
          <t>2026-08-20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  <c r="G8" s="3">
        <f>IF(COUNTIF(C8:F8,"Y")=4,"Pass","Fail")</f>
        <v/>
      </c>
      <c r="H8" s="4" t="inlineStr">
        <is>
          <t>HR Officer</t>
        </is>
      </c>
      <c r="I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