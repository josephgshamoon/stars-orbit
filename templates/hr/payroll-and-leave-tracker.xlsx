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ff register" sheetId="1" state="visible" r:id="rId1"/>
    <sheet xmlns:r="http://schemas.openxmlformats.org/officeDocument/2006/relationships" name="Payroll 2026-09" sheetId="2" state="visible" r:id="rId2"/>
    <sheet xmlns:r="http://schemas.openxmlformats.org/officeDocument/2006/relationships" name="Leave ledg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3A5F"/>
      <sz val="14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color rgb="000000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top" wrapText="1"/>
    </xf>
    <xf numFmtId="9" fontId="4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4" fontId="4" fillId="3" borderId="1" applyAlignment="1" pivotButton="0" quotePrefix="0" xfId="0">
      <alignment vertical="top" wrapText="1"/>
    </xf>
    <xf numFmtId="4" fontId="5" fillId="0" borderId="1" applyAlignment="1" pivotButton="0" quotePrefix="0" xfId="0">
      <alignment vertical="top" wrapText="1"/>
    </xf>
    <xf numFmtId="10" fontId="4" fillId="3" borderId="1" applyAlignment="1" pivotButton="0" quotePrefix="0" xfId="0">
      <alignment vertical="top" wrapText="1"/>
    </xf>
    <xf numFmtId="2" fontId="4" fillId="3" borderId="1" applyAlignment="1" pivotButton="0" quotePrefix="0" xfId="0">
      <alignment vertical="top" wrapText="1"/>
    </xf>
    <xf numFmtId="2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SOC</author>
  </authors>
  <commentList>
    <comment ref="B12" authorId="0" shapeId="0">
      <text>
        <t>Dates are stored as text ISO strings so they survive locale changes; DATEVALUE converts them. If you enter true Excel dates instead, replace DATEVALUE(x) with x.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8" customWidth="1" min="4" max="4"/>
    <col width="12" customWidth="1" min="5" max="5"/>
    <col width="10" customWidth="1" min="6" max="6"/>
    <col width="16" customWidth="1" min="7" max="7"/>
    <col width="12" customWidth="1" min="8" max="8"/>
    <col width="12" customWidth="1" min="9" max="9"/>
    <col width="12" customWidth="1" min="10" max="10"/>
    <col width="10" customWidth="1" min="11" max="11"/>
    <col width="16" customWidth="1" min="12" max="12"/>
    <col width="14" customWidth="1" min="13" max="13"/>
    <col width="9" customWidth="1" min="14" max="14"/>
    <col width="16" customWidth="1" min="15" max="15"/>
    <col width="9" customWidth="1" min="16" max="16"/>
    <col width="16" customWidth="1" min="17" max="17"/>
    <col width="9" customWidth="1" min="18" max="18"/>
    <col width="10" customWidth="1" min="19" max="19"/>
    <col width="9" customWidth="1" min="20" max="20"/>
    <col width="10" customWidth="1" min="21" max="21"/>
  </cols>
  <sheetData>
    <row r="1">
      <c r="A1" s="1" t="inlineStr">
        <is>
          <t>Staff Register</t>
        </is>
      </c>
    </row>
    <row r="2">
      <c r="A2" s="2" t="inlineStr">
        <is>
          <t>Single source of truth for HR data. Restricted folder. Owner: HR Officer.</t>
        </is>
      </c>
    </row>
    <row r="3">
      <c r="A3" s="2" t="inlineStr">
        <is>
          <t>Legend: yellow cells with blue text are inputs. Black cells are formulas, do not overwrite. Example rows show expected format, replace them.</t>
        </is>
      </c>
    </row>
    <row r="5" ht="32" customHeight="1">
      <c r="A5" s="3" t="inlineStr">
        <is>
          <t>Staff ID</t>
        </is>
      </c>
      <c r="B5" s="3" t="inlineStr">
        <is>
          <t>Name</t>
        </is>
      </c>
      <c r="C5" s="3" t="inlineStr">
        <is>
          <t>Position</t>
        </is>
      </c>
      <c r="D5" s="3" t="inlineStr">
        <is>
          <t>Grade</t>
        </is>
      </c>
      <c r="E5" s="3" t="inlineStr">
        <is>
          <t>Duty station</t>
        </is>
      </c>
      <c r="F5" s="3" t="inlineStr">
        <is>
          <t>Country</t>
        </is>
      </c>
      <c r="G5" s="3" t="inlineStr">
        <is>
          <t>Contract type</t>
        </is>
      </c>
      <c r="H5" s="3" t="inlineStr">
        <is>
          <t>Start date</t>
        </is>
      </c>
      <c r="I5" s="3" t="inlineStr">
        <is>
          <t>Contract end</t>
        </is>
      </c>
      <c r="J5" s="3" t="inlineStr">
        <is>
          <t>Probation end</t>
        </is>
      </c>
      <c r="K5" s="3" t="inlineStr">
        <is>
          <t>Renewal count</t>
        </is>
      </c>
      <c r="L5" s="3" t="inlineStr">
        <is>
          <t>Line manager</t>
        </is>
      </c>
      <c r="M5" s="3" t="inlineStr">
        <is>
          <t>Gross monthly salary</t>
        </is>
      </c>
      <c r="N5" s="3" t="inlineStr">
        <is>
          <t>Currency</t>
        </is>
      </c>
      <c r="O5" s="3" t="inlineStr">
        <is>
          <t>Donor 1</t>
        </is>
      </c>
      <c r="P5" s="3" t="inlineStr">
        <is>
          <t>Alloc 1 %</t>
        </is>
      </c>
      <c r="Q5" s="3" t="inlineStr">
        <is>
          <t>Donor 2</t>
        </is>
      </c>
      <c r="R5" s="3" t="inlineStr">
        <is>
          <t>Alloc 2 %</t>
        </is>
      </c>
      <c r="S5" s="3" t="inlineStr">
        <is>
          <t>Alloc check</t>
        </is>
      </c>
      <c r="T5" s="3" t="inlineStr">
        <is>
          <t>Notice days</t>
        </is>
      </c>
      <c r="U5" s="3" t="inlineStr">
        <is>
          <t>Status</t>
        </is>
      </c>
    </row>
    <row r="6">
      <c r="A6" s="4" t="inlineStr">
        <is>
          <t>S-001</t>
        </is>
      </c>
      <c r="B6" s="4" t="inlineStr">
        <is>
          <t>Example Name A</t>
        </is>
      </c>
      <c r="C6" s="4" t="inlineStr">
        <is>
          <t>M&amp;E Officer</t>
        </is>
      </c>
      <c r="D6" s="4" t="inlineStr">
        <is>
          <t>C</t>
        </is>
      </c>
      <c r="E6" s="4" t="inlineStr">
        <is>
          <t>Erbil</t>
        </is>
      </c>
      <c r="F6" s="4" t="inlineStr">
        <is>
          <t>Iraq</t>
        </is>
      </c>
      <c r="G6" s="4" t="inlineStr">
        <is>
          <t>One-year fixed</t>
        </is>
      </c>
      <c r="H6" s="4" t="inlineStr">
        <is>
          <t>2026-02-01</t>
        </is>
      </c>
      <c r="I6" s="4" t="inlineStr">
        <is>
          <t>2027-01-31</t>
        </is>
      </c>
      <c r="J6" s="4" t="inlineStr">
        <is>
          <t>2026-04-30</t>
        </is>
      </c>
      <c r="K6" s="4" t="n">
        <v>0</v>
      </c>
      <c r="L6" s="4" t="inlineStr">
        <is>
          <t>PM</t>
        </is>
      </c>
      <c r="M6" s="4" t="n">
        <v>1800</v>
      </c>
      <c r="N6" s="4" t="inlineStr">
        <is>
          <t>USD</t>
        </is>
      </c>
      <c r="O6" s="4" t="inlineStr">
        <is>
          <t>UNHCR-PPA-2026</t>
        </is>
      </c>
      <c r="P6" s="5" t="n">
        <v>0.6</v>
      </c>
      <c r="Q6" s="4" t="inlineStr">
        <is>
          <t>UNICEF-PCA-2026</t>
        </is>
      </c>
      <c r="R6" s="5" t="n">
        <v>0.4</v>
      </c>
      <c r="S6" s="6">
        <f>IF(ROUND(P6+R6,2)=1,"OK","Check")</f>
        <v/>
      </c>
      <c r="T6" s="4" t="n">
        <v>30</v>
      </c>
      <c r="U6" s="4" t="inlineStr">
        <is>
          <t>Active</t>
        </is>
      </c>
    </row>
    <row r="7">
      <c r="A7" s="4" t="inlineStr">
        <is>
          <t>S-002</t>
        </is>
      </c>
      <c r="B7" s="4" t="inlineStr">
        <is>
          <t>Example Name B</t>
        </is>
      </c>
      <c r="C7" s="4" t="inlineStr">
        <is>
          <t>Field Officer</t>
        </is>
      </c>
      <c r="D7" s="4" t="inlineStr">
        <is>
          <t>B</t>
        </is>
      </c>
      <c r="E7" s="4" t="inlineStr">
        <is>
          <t>Mosul</t>
        </is>
      </c>
      <c r="F7" s="4" t="inlineStr">
        <is>
          <t>Iraq</t>
        </is>
      </c>
      <c r="G7" s="4" t="inlineStr">
        <is>
          <t>Month-to-month</t>
        </is>
      </c>
      <c r="H7" s="4" t="inlineStr">
        <is>
          <t>2026-06-01</t>
        </is>
      </c>
      <c r="I7" s="4" t="inlineStr">
        <is>
          <t>2026-09-30</t>
        </is>
      </c>
      <c r="J7" s="4" t="inlineStr">
        <is>
          <t>2026-08-31</t>
        </is>
      </c>
      <c r="K7" s="4" t="n">
        <v>3</v>
      </c>
      <c r="L7" s="4" t="inlineStr">
        <is>
          <t>PM</t>
        </is>
      </c>
      <c r="M7" s="4" t="n">
        <v>1100</v>
      </c>
      <c r="N7" s="4" t="inlineStr">
        <is>
          <t>USD</t>
        </is>
      </c>
      <c r="O7" s="4" t="inlineStr">
        <is>
          <t>UNHCR-PPA-2026</t>
        </is>
      </c>
      <c r="P7" s="5" t="n">
        <v>1</v>
      </c>
      <c r="Q7" s="4" t="inlineStr"/>
      <c r="R7" s="5" t="n">
        <v>0</v>
      </c>
      <c r="S7" s="6">
        <f>IF(ROUND(P7+R7,2)=1,"OK","Check")</f>
        <v/>
      </c>
      <c r="T7" s="4" t="n">
        <v>15</v>
      </c>
      <c r="U7" s="4" t="inlineStr">
        <is>
          <t>Active</t>
        </is>
      </c>
    </row>
    <row r="8">
      <c r="A8" s="4" t="inlineStr">
        <is>
          <t>S-003</t>
        </is>
      </c>
      <c r="B8" s="4" t="inlineStr">
        <is>
          <t>Example Name C</t>
        </is>
      </c>
      <c r="C8" s="4" t="inlineStr">
        <is>
          <t>Finance Assistant</t>
        </is>
      </c>
      <c r="D8" s="4" t="inlineStr">
        <is>
          <t>B</t>
        </is>
      </c>
      <c r="E8" s="4" t="inlineStr">
        <is>
          <t>Amman</t>
        </is>
      </c>
      <c r="F8" s="4" t="inlineStr">
        <is>
          <t>Jordan</t>
        </is>
      </c>
      <c r="G8" s="4" t="inlineStr">
        <is>
          <t>One-year fixed</t>
        </is>
      </c>
      <c r="H8" s="4" t="inlineStr">
        <is>
          <t>2025-10-01</t>
        </is>
      </c>
      <c r="I8" s="4" t="inlineStr">
        <is>
          <t>2026-09-30</t>
        </is>
      </c>
      <c r="J8" s="4" t="inlineStr">
        <is>
          <t>2025-12-31</t>
        </is>
      </c>
      <c r="K8" s="4" t="n">
        <v>1</v>
      </c>
      <c r="L8" s="4" t="inlineStr">
        <is>
          <t>FM</t>
        </is>
      </c>
      <c r="M8" s="4" t="n">
        <v>900</v>
      </c>
      <c r="N8" s="4" t="inlineStr">
        <is>
          <t>JOD</t>
        </is>
      </c>
      <c r="O8" s="4" t="inlineStr">
        <is>
          <t>Core</t>
        </is>
      </c>
      <c r="P8" s="5" t="n">
        <v>1</v>
      </c>
      <c r="Q8" s="4" t="inlineStr"/>
      <c r="R8" s="5" t="n">
        <v>0</v>
      </c>
      <c r="S8" s="6">
        <f>IF(ROUND(P8+R8,2)=1,"OK","Check")</f>
        <v/>
      </c>
      <c r="T8" s="4" t="n">
        <v>30</v>
      </c>
      <c r="U8" s="4" t="inlineStr">
        <is>
          <t>Active</t>
        </is>
      </c>
    </row>
    <row r="10">
      <c r="A10" s="2" t="inlineStr">
        <is>
          <t>Alerts (as of date in B11):</t>
        </is>
      </c>
    </row>
    <row r="11">
      <c r="A11" s="6" t="inlineStr">
        <is>
          <t>As of</t>
        </is>
      </c>
      <c r="B11" s="4" t="inlineStr">
        <is>
          <t>2026-09-08</t>
        </is>
      </c>
    </row>
    <row r="12">
      <c r="A12" s="6" t="inlineStr">
        <is>
          <t>Contracts ending within 45 days</t>
        </is>
      </c>
      <c r="B12" s="6">
        <f>SUMPRODUCT((I6:I8&lt;&gt;"")*((DATEVALUE(I6:I8)-DATEVALUE(B11))&lt;=45)*((DATEVALUE(I6:I8)-DATEVALUE(B11))&gt;=0))</f>
        <v/>
      </c>
    </row>
    <row r="13">
      <c r="A13" s="6" t="inlineStr">
        <is>
          <t>Month-to-month renewals at 6 or more</t>
        </is>
      </c>
      <c r="B13" s="6">
        <f>COUNTIFS(G6:G8,"Month-to-month",K6:K8,"&gt;=6")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9" customWidth="1" min="3" max="3"/>
    <col width="12" customWidth="1" min="4" max="4"/>
    <col width="10" customWidth="1" min="5" max="5"/>
    <col width="12" customWidth="1" min="6" max="6"/>
    <col width="12" customWidth="1" min="7" max="7"/>
    <col width="12" customWidth="1" min="8" max="8"/>
    <col width="11" customWidth="1" min="9" max="9"/>
    <col width="10" customWidth="1" min="10" max="10"/>
    <col width="11" customWidth="1" min="11" max="11"/>
    <col width="12" customWidth="1" min="12" max="12"/>
    <col width="12" customWidth="1" min="13" max="13"/>
    <col width="11" customWidth="1" min="14" max="14"/>
    <col width="12" customWidth="1" min="15" max="15"/>
    <col width="16" customWidth="1" min="16" max="16"/>
    <col width="9" customWidth="1" min="17" max="17"/>
    <col width="13" customWidth="1" min="18" max="18"/>
    <col width="16" customWidth="1" min="19" max="19"/>
    <col width="9" customWidth="1" min="20" max="20"/>
    <col width="13" customWidth="1" min="21" max="21"/>
  </cols>
  <sheetData>
    <row r="1">
      <c r="A1" s="1" t="inlineStr">
        <is>
          <t>Monthly Payroll Register</t>
        </is>
      </c>
    </row>
    <row r="2">
      <c r="A2" s="2" t="inlineStr">
        <is>
          <t>Copy this sheet per month. Timesheets due 25th, FM calculates by 27th, OD approves, two-signatory transfer by last working day.</t>
        </is>
      </c>
    </row>
    <row r="3">
      <c r="A3" s="2" t="inlineStr">
        <is>
          <t>Legend: yellow cells with blue text are inputs. Black cells are formulas, do not overwrite. Example rows show expected format, replace them.</t>
        </is>
      </c>
    </row>
    <row r="4">
      <c r="A4" s="2" t="inlineStr">
        <is>
          <t>Rates below are placeholders. Verify current statutory rates for Iraq (2023 social security law) and Jordan with counsel before the first run.</t>
        </is>
      </c>
    </row>
    <row r="5" ht="32" customHeight="1">
      <c r="A5" s="3" t="inlineStr">
        <is>
          <t>Staff ID</t>
        </is>
      </c>
      <c r="B5" s="3" t="inlineStr">
        <is>
          <t>Name</t>
        </is>
      </c>
      <c r="C5" s="3" t="inlineStr">
        <is>
          <t>Currency</t>
        </is>
      </c>
      <c r="D5" s="3" t="inlineStr">
        <is>
          <t>Gross salary</t>
        </is>
      </c>
      <c r="E5" s="3" t="inlineStr">
        <is>
          <t>Days worked</t>
        </is>
      </c>
      <c r="F5" s="3" t="inlineStr">
        <is>
          <t>Working days in month</t>
        </is>
      </c>
      <c r="G5" s="3" t="inlineStr">
        <is>
          <t>Gross earned</t>
        </is>
      </c>
      <c r="H5" s="3" t="inlineStr">
        <is>
          <t>Employee social security %</t>
        </is>
      </c>
      <c r="I5" s="3" t="inlineStr">
        <is>
          <t>Employee SS</t>
        </is>
      </c>
      <c r="J5" s="3" t="inlineStr">
        <is>
          <t>Income tax</t>
        </is>
      </c>
      <c r="K5" s="3" t="inlineStr">
        <is>
          <t>Other deductions</t>
        </is>
      </c>
      <c r="L5" s="3" t="inlineStr">
        <is>
          <t>Net pay</t>
        </is>
      </c>
      <c r="M5" s="3" t="inlineStr">
        <is>
          <t>Employer social security %</t>
        </is>
      </c>
      <c r="N5" s="3" t="inlineStr">
        <is>
          <t>Employer SS</t>
        </is>
      </c>
      <c r="O5" s="3" t="inlineStr">
        <is>
          <t>Total cost</t>
        </is>
      </c>
      <c r="P5" s="3" t="inlineStr">
        <is>
          <t>Donor 1</t>
        </is>
      </c>
      <c r="Q5" s="3" t="inlineStr">
        <is>
          <t>Alloc 1 %</t>
        </is>
      </c>
      <c r="R5" s="3" t="inlineStr">
        <is>
          <t>Cost to donor 1</t>
        </is>
      </c>
      <c r="S5" s="3" t="inlineStr">
        <is>
          <t>Donor 2</t>
        </is>
      </c>
      <c r="T5" s="3" t="inlineStr">
        <is>
          <t>Alloc 2 %</t>
        </is>
      </c>
      <c r="U5" s="3" t="inlineStr">
        <is>
          <t>Cost to donor 2</t>
        </is>
      </c>
    </row>
    <row r="6">
      <c r="A6" s="4" t="inlineStr">
        <is>
          <t>S-001</t>
        </is>
      </c>
      <c r="B6" s="4" t="inlineStr">
        <is>
          <t>Example Name A</t>
        </is>
      </c>
      <c r="C6" s="4" t="inlineStr">
        <is>
          <t>USD</t>
        </is>
      </c>
      <c r="D6" s="7" t="n">
        <v>1800</v>
      </c>
      <c r="E6" s="4" t="n">
        <v>22</v>
      </c>
      <c r="F6" s="4" t="n">
        <v>22</v>
      </c>
      <c r="G6" s="8">
        <f>D6*E6/F6</f>
        <v/>
      </c>
      <c r="H6" s="9" t="n">
        <v>0.05</v>
      </c>
      <c r="I6" s="8">
        <f>G6*H6</f>
        <v/>
      </c>
      <c r="J6" s="7" t="n">
        <v>0</v>
      </c>
      <c r="K6" s="7" t="n">
        <v>0</v>
      </c>
      <c r="L6" s="8">
        <f>G6-I6-J6-K6</f>
        <v/>
      </c>
      <c r="M6" s="9" t="n">
        <v>0.12</v>
      </c>
      <c r="N6" s="8">
        <f>G6*M6</f>
        <v/>
      </c>
      <c r="O6" s="8">
        <f>G6+N6</f>
        <v/>
      </c>
      <c r="P6" s="4" t="inlineStr">
        <is>
          <t>UNHCR-PPA-2026</t>
        </is>
      </c>
      <c r="Q6" s="5" t="n">
        <v>0.6</v>
      </c>
      <c r="R6" s="8">
        <f>O6*Q6</f>
        <v/>
      </c>
      <c r="S6" s="4" t="inlineStr">
        <is>
          <t>UNICEF-PCA-2026</t>
        </is>
      </c>
      <c r="T6" s="5" t="n">
        <v>0.4</v>
      </c>
      <c r="U6" s="8">
        <f>O6*T6</f>
        <v/>
      </c>
    </row>
    <row r="7">
      <c r="A7" s="4" t="inlineStr">
        <is>
          <t>S-002</t>
        </is>
      </c>
      <c r="B7" s="4" t="inlineStr">
        <is>
          <t>Example Name B</t>
        </is>
      </c>
      <c r="C7" s="4" t="inlineStr">
        <is>
          <t>USD</t>
        </is>
      </c>
      <c r="D7" s="7" t="n">
        <v>1100</v>
      </c>
      <c r="E7" s="4" t="n">
        <v>20</v>
      </c>
      <c r="F7" s="4" t="n">
        <v>22</v>
      </c>
      <c r="G7" s="8">
        <f>D7*E7/F7</f>
        <v/>
      </c>
      <c r="H7" s="9" t="n">
        <v>0.05</v>
      </c>
      <c r="I7" s="8">
        <f>G7*H7</f>
        <v/>
      </c>
      <c r="J7" s="7" t="n">
        <v>0</v>
      </c>
      <c r="K7" s="7" t="n">
        <v>0</v>
      </c>
      <c r="L7" s="8">
        <f>G7-I7-J7-K7</f>
        <v/>
      </c>
      <c r="M7" s="9" t="n">
        <v>0.12</v>
      </c>
      <c r="N7" s="8">
        <f>G7*M7</f>
        <v/>
      </c>
      <c r="O7" s="8">
        <f>G7+N7</f>
        <v/>
      </c>
      <c r="P7" s="4" t="inlineStr">
        <is>
          <t>UNHCR-PPA-2026</t>
        </is>
      </c>
      <c r="Q7" s="5" t="n">
        <v>1</v>
      </c>
      <c r="R7" s="8">
        <f>O7*Q7</f>
        <v/>
      </c>
      <c r="S7" s="4" t="inlineStr"/>
      <c r="T7" s="5" t="n">
        <v>0</v>
      </c>
      <c r="U7" s="8">
        <f>O7*T7</f>
        <v/>
      </c>
    </row>
    <row r="8">
      <c r="A8" s="4" t="inlineStr">
        <is>
          <t>S-003</t>
        </is>
      </c>
      <c r="B8" s="4" t="inlineStr">
        <is>
          <t>Example Name C</t>
        </is>
      </c>
      <c r="C8" s="4" t="inlineStr">
        <is>
          <t>JOD</t>
        </is>
      </c>
      <c r="D8" s="7" t="n">
        <v>900</v>
      </c>
      <c r="E8" s="4" t="n">
        <v>22</v>
      </c>
      <c r="F8" s="4" t="n">
        <v>22</v>
      </c>
      <c r="G8" s="8">
        <f>D8*E8/F8</f>
        <v/>
      </c>
      <c r="H8" s="9" t="n">
        <v>0.075</v>
      </c>
      <c r="I8" s="8">
        <f>G8*H8</f>
        <v/>
      </c>
      <c r="J8" s="7" t="n">
        <v>0</v>
      </c>
      <c r="K8" s="7" t="n">
        <v>0</v>
      </c>
      <c r="L8" s="8">
        <f>G8-I8-J8-K8</f>
        <v/>
      </c>
      <c r="M8" s="9" t="n">
        <v>0.1425</v>
      </c>
      <c r="N8" s="8">
        <f>G8*M8</f>
        <v/>
      </c>
      <c r="O8" s="8">
        <f>G8+N8</f>
        <v/>
      </c>
      <c r="P8" s="4" t="inlineStr">
        <is>
          <t>Core</t>
        </is>
      </c>
      <c r="Q8" s="5" t="n">
        <v>1</v>
      </c>
      <c r="R8" s="8">
        <f>O8*Q8</f>
        <v/>
      </c>
      <c r="S8" s="4" t="inlineStr"/>
      <c r="T8" s="5" t="n">
        <v>0</v>
      </c>
      <c r="U8" s="8">
        <f>O8*T8</f>
        <v/>
      </c>
    </row>
    <row r="9">
      <c r="A9" s="6" t="inlineStr">
        <is>
          <t>Totals</t>
        </is>
      </c>
      <c r="G9" s="8">
        <f>SUM(G6:G8)</f>
        <v/>
      </c>
      <c r="I9" s="8">
        <f>SUM(I6:I8)</f>
        <v/>
      </c>
      <c r="L9" s="8">
        <f>SUM(L6:L8)</f>
        <v/>
      </c>
      <c r="N9" s="8">
        <f>SUM(N6:N8)</f>
        <v/>
      </c>
      <c r="O9" s="8">
        <f>SUM(O6:O8)</f>
        <v/>
      </c>
      <c r="R9" s="8">
        <f>SUM(R6:R8)</f>
        <v/>
      </c>
      <c r="U9" s="8">
        <f>SUM(U6:U8)</f>
        <v/>
      </c>
    </row>
    <row r="11">
      <c r="A11" s="6" t="inlineStr">
        <is>
          <t>Prepared by (FM)</t>
        </is>
      </c>
      <c r="B11" s="4" t="inlineStr"/>
    </row>
    <row r="12">
      <c r="A12" s="6" t="inlineStr">
        <is>
          <t>Approved by (OD)</t>
        </is>
      </c>
      <c r="B12" s="4" t="inlineStr"/>
    </row>
    <row r="13">
      <c r="A13" s="6" t="inlineStr">
        <is>
          <t>Released by (two signatories)</t>
        </is>
      </c>
      <c r="B13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40" customWidth="1" min="3" max="3"/>
    <col width="14" customWidth="1" min="4" max="4"/>
    <col width="14" customWidth="1" min="5" max="5"/>
    <col width="18" customWidth="1" min="6" max="6"/>
    <col width="30" customWidth="1" min="7" max="7"/>
  </cols>
  <sheetData>
    <row r="1">
      <c r="A1" s="1" t="inlineStr">
        <is>
          <t>Leave Ledger</t>
        </is>
      </c>
    </row>
    <row r="2">
      <c r="A2" s="2" t="inlineStr">
        <is>
          <t>One row per leave transaction. Balance is running per staff ID. Accrual entered monthly by HR (Iraq 21 days per year = 1.75 per month, verify per country annex).</t>
        </is>
      </c>
    </row>
    <row r="3">
      <c r="A3" s="2" t="inlineStr">
        <is>
          <t>Legend: yellow cells with blue text are inputs. Black cells are formulas, do not overwrite. Example rows show expected format, replace them.</t>
        </is>
      </c>
    </row>
    <row r="5" ht="32" customHeight="1">
      <c r="A5" s="3" t="inlineStr">
        <is>
          <t>Date</t>
        </is>
      </c>
      <c r="B5" s="3" t="inlineStr">
        <is>
          <t>Staff ID</t>
        </is>
      </c>
      <c r="C5" s="3" t="inlineStr">
        <is>
          <t>Type (Accrual / Annual / Sick / Public holiday / Unpaid / Other)</t>
        </is>
      </c>
      <c r="D5" s="3" t="inlineStr">
        <is>
          <t>Days (+ accrual, - taken)</t>
        </is>
      </c>
      <c r="E5" s="3" t="inlineStr">
        <is>
          <t>Approved by</t>
        </is>
      </c>
      <c r="F5" s="3" t="inlineStr">
        <is>
          <t>Running balance (annual leave)</t>
        </is>
      </c>
      <c r="G5" s="3" t="inlineStr">
        <is>
          <t>Note</t>
        </is>
      </c>
    </row>
    <row r="6">
      <c r="A6" s="4" t="inlineStr">
        <is>
          <t>2026-07-31</t>
        </is>
      </c>
      <c r="B6" s="4" t="inlineStr">
        <is>
          <t>S-001</t>
        </is>
      </c>
      <c r="C6" s="4" t="inlineStr">
        <is>
          <t>Accrual</t>
        </is>
      </c>
      <c r="D6" s="10" t="n">
        <v>1.75</v>
      </c>
      <c r="E6" s="4" t="inlineStr">
        <is>
          <t>HR Officer</t>
        </is>
      </c>
      <c r="F6" s="11">
        <f>SUMIFS($D$6:D6,$B$6:B6,B6,$C$6:C6,"Accrual")+SUMIFS($D$6:D6,$B$6:B6,B6,$C$6:C6,"Annual")</f>
        <v/>
      </c>
      <c r="G6" s="4" t="inlineStr"/>
    </row>
    <row r="7">
      <c r="A7" s="4" t="inlineStr">
        <is>
          <t>2026-08-10</t>
        </is>
      </c>
      <c r="B7" s="4" t="inlineStr">
        <is>
          <t>S-001</t>
        </is>
      </c>
      <c r="C7" s="4" t="inlineStr">
        <is>
          <t>Annual</t>
        </is>
      </c>
      <c r="D7" s="10" t="n">
        <v>-3</v>
      </c>
      <c r="E7" s="4" t="inlineStr">
        <is>
          <t>PM</t>
        </is>
      </c>
      <c r="F7" s="11">
        <f>SUMIFS($D$6:D7,$B$6:B7,B7,$C$6:C7,"Accrual")+SUMIFS($D$6:D7,$B$6:B7,B7,$C$6:C7,"Annual")</f>
        <v/>
      </c>
      <c r="G7" s="4" t="inlineStr"/>
    </row>
    <row r="8">
      <c r="A8" s="4" t="inlineStr">
        <is>
          <t>2026-08-31</t>
        </is>
      </c>
      <c r="B8" s="4" t="inlineStr">
        <is>
          <t>S-001</t>
        </is>
      </c>
      <c r="C8" s="4" t="inlineStr">
        <is>
          <t>Accrual</t>
        </is>
      </c>
      <c r="D8" s="10" t="n">
        <v>1.75</v>
      </c>
      <c r="E8" s="4" t="inlineStr">
        <is>
          <t>HR Officer</t>
        </is>
      </c>
      <c r="F8" s="11">
        <f>SUMIFS($D$6:D8,$B$6:B8,B8,$C$6:C8,"Accrual")+SUMIFS($D$6:D8,$B$6:B8,B8,$C$6:C8,"Annual")</f>
        <v/>
      </c>
      <c r="G8" s="4" t="inlineStr"/>
    </row>
    <row r="9">
      <c r="A9" s="4" t="inlineStr">
        <is>
          <t>2026-08-31</t>
        </is>
      </c>
      <c r="B9" s="4" t="inlineStr">
        <is>
          <t>S-002</t>
        </is>
      </c>
      <c r="C9" s="4" t="inlineStr">
        <is>
          <t>Accrual</t>
        </is>
      </c>
      <c r="D9" s="10" t="n">
        <v>1.75</v>
      </c>
      <c r="E9" s="4" t="inlineStr">
        <is>
          <t>HR Officer</t>
        </is>
      </c>
      <c r="F9" s="11">
        <f>SUMIFS($D$6:D9,$B$6:B9,B9,$C$6:C9,"Accrual")+SUMIFS($D$6:D9,$B$6:B9,B9,$C$6:C9,"Annual")</f>
        <v/>
      </c>
      <c r="G9" s="4" t="inlineStr"/>
    </row>
    <row r="11">
      <c r="A11" s="6" t="inlineStr">
        <is>
          <t>Balances by staff</t>
        </is>
      </c>
    </row>
    <row r="12" ht="32" customHeight="1">
      <c r="A12" s="3" t="inlineStr">
        <is>
          <t>Staff ID</t>
        </is>
      </c>
      <c r="B12" s="3" t="inlineStr">
        <is>
          <t>Annual leave balance</t>
        </is>
      </c>
      <c r="C12" s="3" t="inlineStr">
        <is>
          <t>Alert (&gt;15 days)</t>
        </is>
      </c>
    </row>
    <row r="13">
      <c r="A13" s="4" t="inlineStr">
        <is>
          <t>S-001</t>
        </is>
      </c>
      <c r="B13" s="11">
        <f>SUMIFS($D$6:$D$9,$B$6:$B$9,A13,$C$6:$C$9,"Accrual")+SUMIFS($D$6:$D$9,$B$6:$B$9,A13,$C$6:$C$9,"Annual")</f>
        <v/>
      </c>
      <c r="C13" s="6">
        <f>IF(B13&gt;15,"Alert","OK")</f>
        <v/>
      </c>
    </row>
    <row r="14">
      <c r="A14" s="4" t="inlineStr">
        <is>
          <t>S-002</t>
        </is>
      </c>
      <c r="B14" s="11">
        <f>SUMIFS($D$6:$D$9,$B$6:$B$9,A14,$C$6:$C$9,"Accrual")+SUMIFS($D$6:$D$9,$B$6:$B$9,A14,$C$6:$C$9,"Annual")</f>
        <v/>
      </c>
      <c r="C14" s="6">
        <f>IF(B14&gt;15,"Alert","OK")</f>
        <v/>
      </c>
    </row>
    <row r="15">
      <c r="A15" s="4" t="inlineStr">
        <is>
          <t>S-003</t>
        </is>
      </c>
      <c r="B15" s="11">
        <f>SUMIFS($D$6:$D$9,$B$6:$B$9,A15,$C$6:$C$9,"Accrual")+SUMIFS($D$6:$D$9,$B$6:$B$9,A15,$C$6:$C$9,"Annual")</f>
        <v/>
      </c>
      <c r="C15" s="6">
        <f>IF(B15&gt;15,"Alert","OK")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2026-09-08T17:30:22Z</dcterms:created>
  <dcterms:modified xmlns:dcterms="http://purl.org/dc/terms/" xmlns:xsi="http://www.w3.org/2001/XMLSchema-instance" xsi:type="dcterms:W3CDTF">2026-09-08T17:30:22Z</dcterms:modified>
</cp:coreProperties>
</file>